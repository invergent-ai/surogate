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34c38dcd1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与口径" sheetId="1" r:id="Rbb92f55bf51e4ca3"/>
    <x:sheet xmlns:r="http://schemas.openxmlformats.org/officeDocument/2006/relationships" name="消费级旗舰" sheetId="2" r:id="Recd8088b43074f53"/>
    <x:sheet xmlns:r="http://schemas.openxmlformats.org/officeDocument/2006/relationships" name="企业计算卡" sheetId="3" r:id="Rd49d8859817c4c30"/>
    <x:sheet xmlns:r="http://schemas.openxmlformats.org/officeDocument/2006/relationships" name="格式支持矩阵" sheetId="4" r:id="R41eab72af695416f"/>
    <x:sheet xmlns:r="http://schemas.openxmlformats.org/officeDocument/2006/relationships" name="Blackwell推导" sheetId="5" r:id="Rf1aebfbd532e470d"/>
    <x:sheet xmlns:r="http://schemas.openxmlformats.org/officeDocument/2006/relationships" name="系统级附录" sheetId="6" r:id="Red4b5b68390a47f4"/>
    <x:sheet xmlns:r="http://schemas.openxmlformats.org/officeDocument/2006/relationships" name="来源映射" sheetId="7" r:id="Rb7f49282fb65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D1D5DB"/>
      <x:name val="Carlito"/>
    </x:font>
    <x:font>
      <x:b/>
      <x:sz val="10"/>
      <x:color rgb="FF0B0F14"/>
      <x:name val="Carlito"/>
    </x:font>
    <x:font>
      <x:sz val="9"/>
      <x:color rgb="FF111827"/>
      <x:name val="Carlito"/>
    </x:font>
    <x:font>
      <x:b/>
      <x:sz val="11"/>
      <x:color rgb="FFFFFFFF"/>
      <x:name val="Carlito"/>
    </x:font>
    <x:font>
      <x:b/>
      <x:sz val="9"/>
      <x:color rgb="FF111827"/>
      <x:name val="Carlito"/>
    </x:font>
    <x:font>
      <x:b/>
      <x:sz val="11"/>
      <x:color rgb="FF78350F"/>
      <x:name val="Carlito"/>
    </x:font>
    <x:font>
      <x:i/>
      <x:sz val="11"/>
      <x:color rgb="FF78350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76B900"/>
      </x:patternFill>
    </x:fill>
    <x:fill>
      <x:patternFill patternType="solid">
        <x:fgColor rgb="FFECFCC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F0FDF4"/>
      </x:patternFill>
    </x:fill>
    <x:fill>
      <x:patternFill patternType="solid">
        <x:fgColor rgb="FFF5F3FF"/>
      </x:patternFill>
    </x:fill>
    <x:fill>
      <x:patternFill patternType="solid">
        <x:fgColor rgb="FFECFDF5"/>
      </x:patternFill>
    </x:fill>
    <x:fill>
      <x:patternFill patternType="solid">
        <x:fgColor rgb="FFDCFCE7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1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center" wrapText="1"/>
    </x:xf>
    <x:xf numFmtId="200" fontId="4" fillId="7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200" fontId="4" fillId="7" borderId="1" xfId="0" applyNumberFormat="1" applyFont="1" applyFill="1" applyBorder="1" applyAlignment="1">
      <x:alignment vertical="center" wrapText="1"/>
    </x:xf>
    <x:xf numFmtId="200" fontId="4" fillId="8" borderId="1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4" fillId="10" borderId="1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vertical="center" wrapText="1"/>
    </x:xf>
    <x:xf numFmtId="0" fontId="4" fillId="11" borderId="1" xfId="0" applyNumberFormat="1" applyFont="1" applyFill="1" applyBorder="1" applyAlignment="1">
      <x:alignment vertical="center" wrapText="1"/>
    </x:xf>
    <x:xf numFmtId="200" fontId="4" fillId="9" borderId="0" xfId="0" applyNumberFormat="1" applyFont="1" applyFill="1" applyBorder="1" applyAlignment="1">
      <x:alignment vertical="center" wrapText="1"/>
    </x:xf>
    <x:xf numFmtId="200" fontId="4" fillId="10" borderId="0" xfId="0" applyNumberFormat="1" applyFont="1" applyFill="1" applyBorder="1" applyAlignment="1">
      <x:alignment vertical="center" wrapText="1"/>
    </x:xf>
    <x:xf numFmtId="200" fontId="4" fillId="11" borderId="0" xfId="0" applyNumberFormat="1" applyFont="1" applyFill="1" applyBorder="1" applyAlignment="1">
      <x:alignment vertical="center" wrapText="1"/>
    </x:xf>
    <x:xf numFmtId="200" fontId="4" fillId="9" borderId="1" xfId="0" applyNumberFormat="1" applyFont="1" applyFill="1" applyBorder="1" applyAlignment="1">
      <x:alignment vertical="center" wrapText="1"/>
    </x:xf>
    <x:xf numFmtId="200" fontId="4" fillId="10" borderId="1" xfId="0" applyNumberFormat="1" applyFont="1" applyFill="1" applyBorder="1" applyAlignment="1">
      <x:alignment vertical="center" wrapText="1"/>
    </x:xf>
    <x:xf numFmtId="200" fontId="4" fillId="11" borderId="1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4" fillId="12" borderId="1" xfId="0" applyNumberFormat="1" applyFont="1" applyFill="1" applyBorder="1" applyAlignment="1">
      <x:alignment vertical="center" wrapText="1"/>
    </x:xf>
    <x:xf numFmtId="200" fontId="4" fillId="12" borderId="0" xfId="0" applyNumberFormat="1" applyFont="1" applyFill="1" applyBorder="1" applyAlignment="1">
      <x:alignment vertical="center" wrapText="1"/>
    </x:xf>
    <x:xf numFmtId="200" fontId="4" fillId="12" borderId="1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1" fontId="4" fillId="10" borderId="0" xfId="0" applyNumberFormat="1" applyFont="1" applyFill="1" applyBorder="1" applyAlignment="1">
      <x:alignment vertical="center" wrapText="1"/>
    </x:xf>
    <x:xf numFmtId="201" fontId="4" fillId="10" borderId="1" xfId="0" applyNumberFormat="1" applyFont="1" applyFill="1" applyBorder="1" applyAlignment="1">
      <x:alignment vertical="center" wrapText="1"/>
    </x:xf>
    <x:xf numFmtId="201" fontId="4" fillId="11" borderId="0" xfId="0" applyNumberFormat="1" applyFont="1" applyFill="1" applyBorder="1" applyAlignment="1">
      <x:alignment vertical="center" wrapText="1"/>
    </x:xf>
    <x:xf numFmtId="201" fontId="4" fillId="11" borderId="1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wrapText="1"/>
    </x:xf>
    <x:xf numFmtId="0" fontId="7" fillId="13" borderId="0" xfId="0" applyNumberFormat="1" applyFont="1" applyFill="1" applyBorder="1" applyAlignment="1">
      <x:alignment vertical="center" wrapText="1"/>
    </x:xf>
    <x:xf numFmtId="0" fontId="0" fillId="13" borderId="1" xfId="0" applyNumberFormat="1" applyFont="1" applyFill="1" applyBorder="1"/>
    <x:xf numFmtId="0" fontId="7" fillId="13" borderId="1" xfId="0" applyNumberFormat="1" applyFont="1" applyFill="1" applyBorder="1"/>
    <x:xf numFmtId="0" fontId="7" fillId="13" borderId="1" xfId="0" applyNumberFormat="1" applyFont="1" applyFill="1" applyBorder="1" applyAlignment="1">
      <x:alignment wrapText="1"/>
    </x:xf>
    <x:xf numFmtId="0" fontId="7" fillId="1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200" fontId="4" fillId="6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200" fontId="4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200" fontId="4" fillId="8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0" fontId="4" fillId="6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200" fontId="4" fillId="7" borderId="1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200" fontId="4" fillId="8" borderId="1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200" fontId="4" fillId="9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200" fontId="4" fillId="10" borderId="0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200" fontId="4" fillId="11" borderId="0" xfId="0" applyNumberFormat="1" applyFont="1" applyFill="1" applyBorder="1" applyAlignment="1">
      <x:alignment horizontal="center" vertic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200" fontId="4" fillId="9" borderId="1" xfId="0" applyNumberFormat="1" applyFont="1" applyFill="1" applyBorder="1" applyAlignment="1">
      <x:alignment horizontal="center" vertical="center" wrapText="1"/>
    </x:xf>
    <x:xf numFmtId="0" fontId="4" fillId="10" borderId="1" xfId="0" applyNumberFormat="1" applyFont="1" applyFill="1" applyBorder="1" applyAlignment="1">
      <x:alignment horizontal="center" vertical="center" wrapText="1"/>
    </x:xf>
    <x:xf numFmtId="200" fontId="4" fillId="10" borderId="1" xfId="0" applyNumberFormat="1" applyFont="1" applyFill="1" applyBorder="1" applyAlignment="1">
      <x:alignment horizontal="center" vertical="center" wrapText="1"/>
    </x:xf>
    <x:xf numFmtId="0" fontId="4" fillId="11" borderId="1" xfId="0" applyNumberFormat="1" applyFont="1" applyFill="1" applyBorder="1" applyAlignment="1">
      <x:alignment horizontal="center" vertical="center" wrapText="1"/>
    </x:xf>
    <x:xf numFmtId="200" fontId="4" fillId="11" borderId="1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200" fontId="4" fillId="12" borderId="0" xfId="0" applyNumberFormat="1" applyFont="1" applyFill="1" applyBorder="1" applyAlignment="1">
      <x:alignment horizontal="center" vertical="center" wrapText="1"/>
    </x:xf>
    <x:xf numFmtId="0" fontId="4" fillId="12" borderId="1" xfId="0" applyNumberFormat="1" applyFont="1" applyFill="1" applyBorder="1" applyAlignment="1">
      <x:alignment horizontal="center" vertical="center" wrapText="1"/>
    </x:xf>
    <x:xf numFmtId="200" fontId="4" fillId="12" borderId="1" xfId="0" applyNumberFormat="1" applyFont="1" applyFill="1" applyBorder="1" applyAlignment="1">
      <x:alignment horizontal="center" vertical="center" wrapText="1"/>
    </x:xf>
    <x:xf numFmtId="201" fontId="4" fillId="10" borderId="0" xfId="0" applyNumberFormat="1" applyFont="1" applyFill="1" applyBorder="1" applyAlignment="1">
      <x:alignment horizontal="center" vertical="center" wrapText="1"/>
    </x:xf>
    <x:xf numFmtId="201" fontId="4" fillId="11" borderId="0" xfId="0" applyNumberFormat="1" applyFont="1" applyFill="1" applyBorder="1" applyAlignment="1">
      <x:alignment horizontal="center" vertical="center" wrapText="1"/>
    </x:xf>
    <x:xf numFmtId="201" fontId="4" fillId="10" borderId="1" xfId="0" applyNumberFormat="1" applyFont="1" applyFill="1" applyBorder="1" applyAlignment="1">
      <x:alignment horizontal="center" vertical="center" wrapText="1"/>
    </x:xf>
    <x:xf numFmtId="201" fontId="4" fillId="11" borderId="1" xfId="0" applyNumberFormat="1" applyFont="1" applyFill="1" applyBorder="1" applyAlignment="1">
      <x:alignment horizontal="center" vertical="center" wrapText="1"/>
    </x:xf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8" fillId="13" borderId="0" xfId="0" applyNumberFormat="1" applyFont="1" applyFill="1" applyBorder="1" applyAlignment="1">
      <x:alignment vertical="center" wrapText="1"/>
    </x:xf>
    <x:xf numFmtId="0" fontId="8" fillId="13" borderId="1" xfId="0" applyNumberFormat="1" applyFont="1" applyFill="1" applyBorder="1"/>
    <x:xf numFmtId="0" fontId="8" fillId="13" borderId="1" xfId="0" applyNumberFormat="1" applyFont="1" applyFill="1" applyBorder="1" applyAlignment="1">
      <x:alignment wrapText="1"/>
    </x:xf>
    <x:xf numFmtId="0" fontId="8" fillId="1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ECFCCB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ECFCCB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7b9dc8bde4725" /><Relationship Type="http://schemas.openxmlformats.org/officeDocument/2006/relationships/theme" Target="/xl/theme/theme1.xml" Id="R32c168d9283d4ab2" /><Relationship Type="http://schemas.openxmlformats.org/officeDocument/2006/relationships/sharedStrings" Target="/xl/sharedStrings.xml" Id="R2ce5777c2bf841e3" /><Relationship Type="http://schemas.openxmlformats.org/officeDocument/2006/relationships/worksheet" Target="/xl/worksheets/sheet1.xml" Id="Rbb92f55bf51e4ca3" /><Relationship Type="http://schemas.openxmlformats.org/officeDocument/2006/relationships/worksheet" Target="/xl/worksheets/sheet2.xml" Id="Recd8088b43074f53" /><Relationship Type="http://schemas.openxmlformats.org/officeDocument/2006/relationships/worksheet" Target="/xl/worksheets/sheet3.xml" Id="Rd49d8859817c4c30" /><Relationship Type="http://schemas.openxmlformats.org/officeDocument/2006/relationships/worksheet" Target="/xl/worksheets/sheet4.xml" Id="R41eab72af695416f" /><Relationship Type="http://schemas.openxmlformats.org/officeDocument/2006/relationships/worksheet" Target="/xl/worksheets/sheet5.xml" Id="Rf1aebfbd532e470d" /><Relationship Type="http://schemas.openxmlformats.org/officeDocument/2006/relationships/worksheet" Target="/xl/worksheets/sheet6.xml" Id="Red4b5b68390a47f4" /><Relationship Type="http://schemas.openxmlformats.org/officeDocument/2006/relationships/worksheet" Target="/xl/worksheets/sheet7.xml" Id="Rb7f49282fb6543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1a4ae32a01145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消费级旗舰 Dense Tensor Core 峰值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TF32 dense</c:v>
          </c:tx>
          <c:cat>
            <c:strRef>
              <c:f>'总览与口径'!$A$19:$A$21</c:f>
              <c:strCache>
                <c:ptCount val="0"/>
              </c:strCache>
            </c:strRef>
          </c:cat>
          <c:val>
            <c:numRef>
              <c:f>'总览与口径'!$B$19:$B$21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BF16/FP16 dense</c:v>
          </c:tx>
          <c:cat>
            <c:strRef>
              <c:f>'总览与口径'!$A$19:$A$21</c:f>
              <c:strCache>
                <c:ptCount val="0"/>
              </c:strCache>
            </c:strRef>
          </c:cat>
          <c:val>
            <c:numRef>
              <c:f>'总览与口径'!$C$19:$C$21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FP8 dense</c:v>
          </c:tx>
          <c:cat>
            <c:strRef>
              <c:f>'总览与口径'!$A$19:$A$21</c:f>
              <c:strCache>
                <c:ptCount val="0"/>
              </c:strCache>
            </c:strRef>
          </c:cat>
          <c:val>
            <c:numRef>
              <c:f>'总览与口径'!$D$19:$D$21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FP4 dense</c:v>
          </c:tx>
          <c:cat>
            <c:strRef>
              <c:f>'总览与口径'!$A$19:$A$21</c:f>
              <c:strCache>
                <c:ptCount val="0"/>
              </c:strCache>
            </c:strRef>
          </c:cat>
          <c:val>
            <c:numRef>
              <c:f>'总览与口径'!$E$19:$E$21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26</xdr:row>
      <xdr:rowOff>0</xdr:rowOff>
    </xdr:from>
    <xdr:ext cx="6858000" cy="3143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a4ae32a01145f6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ConsumerFlagships" displayName="ConsumerFlagships" ref="A4:X7" headerRowCount="1">
  <x:tableColumns count="24">
    <x:tableColumn id="1" name="架构"/>
    <x:tableColumn id="2" name="型号"/>
    <x:tableColumn id="3" name="GPU"/>
    <x:tableColumn id="4" name="Tensor Core"/>
    <x:tableColumn id="5" name="SM"/>
    <x:tableColumn id="6" name="CUDA Cores"/>
    <x:tableColumn id="7" name="Tensor Cores"/>
    <x:tableColumn id="8" name="显存 (GB)"/>
    <x:tableColumn id="9" name="显存类型"/>
    <x:tableColumn id="10" name="带宽 (GB/s)"/>
    <x:tableColumn id="11" name="TGP (W)"/>
    <x:tableColumn id="12" name="FP32 CUDA (TFLOPS)"/>
    <x:tableColumn id="13" name="TF32 dense (TFLOPS)"/>
    <x:tableColumn id="14" name="BF16+FP32累加 dense"/>
    <x:tableColumn id="15" name="FP16+FP32累加 dense"/>
    <x:tableColumn id="16" name="FP16+FP16累加 dense"/>
    <x:tableColumn id="17" name="FP8+FP32累加 dense"/>
    <x:tableColumn id="18" name="FP8+FP16累加 dense"/>
    <x:tableColumn id="19" name="FP6 dense"/>
    <x:tableColumn id="20" name="FP4+FP32累加 dense"/>
    <x:tableColumn id="21" name="INT8 dense (TOPS)"/>
    <x:tableColumn id="22" name="INT4 dense (TOPS)"/>
    <x:tableColumn id="23" name="说明"/>
    <x:tableColumn id="24" name="来源 URL"/>
  </x:tableColumns>
  <x:tableStyleInfo name="TableStyleMedium2" showRowStripes="1"/>
</x:table>
</file>

<file path=xl/tables/table2.xml><?xml version="1.0" encoding="utf-8"?>
<x:table xmlns:x="http://schemas.openxmlformats.org/spreadsheetml/2006/main" id="2" name="EnterpriseGPUs" displayName="EnterpriseGPUs" ref="A4:AA24" headerRowCount="1">
  <x:tableColumns count="27">
    <x:tableColumn id="1" name="架构"/>
    <x:tableColumn id="2" name="产品线"/>
    <x:tableColumn id="3" name="型号"/>
    <x:tableColumn id="4" name="形态"/>
    <x:tableColumn id="5" name="GPU/芯片"/>
    <x:tableColumn id="6" name="Tensor Core"/>
    <x:tableColumn id="7" name="SM"/>
    <x:tableColumn id="8" name="CUDA Cores"/>
    <x:tableColumn id="9" name="Tensor Cores"/>
    <x:tableColumn id="10" name="显存 (GB)"/>
    <x:tableColumn id="11" name="显存类型"/>
    <x:tableColumn id="12" name="带宽 (GB/s)"/>
    <x:tableColumn id="13" name="功耗上限 (W)"/>
    <x:tableColumn id="14" name="FP32 CUDA (TFLOPS)"/>
    <x:tableColumn id="15" name="FP64 Tensor dense"/>
    <x:tableColumn id="16" name="TF32 Tensor dense"/>
    <x:tableColumn id="17" name="BF16 Tensor dense"/>
    <x:tableColumn id="18" name="FP16 Tensor dense"/>
    <x:tableColumn id="19" name="FP8 Tensor dense"/>
    <x:tableColumn id="20" name="FP6 Tensor dense"/>
    <x:tableColumn id="21" name="FP4/NVFP4 Tensor dense"/>
    <x:tableColumn id="22" name="INT8 Tensor dense (TOPS)"/>
    <x:tableColumn id="23" name="INT4 Tensor dense (TOPS)"/>
    <x:tableColumn id="24" name="NVLink/卡 (GB/s)"/>
    <x:tableColumn id="25" name="口径与备注"/>
    <x:tableColumn id="26" name="证据等级"/>
    <x:tableColumn id="27" name="来源 URL"/>
  </x:tableColumns>
  <x:tableStyleInfo name="TableStyleMedium2" showRowStripes="1"/>
</x:table>
</file>

<file path=xl/tables/table3.xml><?xml version="1.0" encoding="utf-8"?>
<x:table xmlns:x="http://schemas.openxmlformats.org/spreadsheetml/2006/main" id="3" name="FormatSupport" displayName="FormatSupport" ref="A4:K10" headerRowCount="1">
  <x:tableColumns count="11">
    <x:tableColumn id="1" name="架构/芯片族"/>
    <x:tableColumn id="2" name="FP64 Tensor"/>
    <x:tableColumn id="3" name="TF32"/>
    <x:tableColumn id="4" name="BF16"/>
    <x:tableColumn id="5" name="FP16"/>
    <x:tableColumn id="6" name="FP8"/>
    <x:tableColumn id="7" name="FP6"/>
    <x:tableColumn id="8" name="FP4/NVFP4"/>
    <x:tableColumn id="9" name="INT8"/>
    <x:tableColumn id="10" name="INT4"/>
    <x:tableColumn id="11" name="关键说明"/>
  </x:tableColumns>
  <x:tableStyleInfo name="TableStyleMedium2" showRowStripes="1"/>
</x:table>
</file>

<file path=xl/tables/table4.xml><?xml version="1.0" encoding="utf-8"?>
<x:table xmlns:x="http://schemas.openxmlformats.org/spreadsheetml/2006/main" id="6" name="BlackwellDerivation" displayName="BlackwellDerivation" ref="A4:V6" headerRowCount="1">
  <x:tableColumns count="22">
    <x:tableColumn id="1" name="型号"/>
    <x:tableColumn id="2" name="GPU 数"/>
    <x:tableColumn id="3" name="显存总量 GB"/>
    <x:tableColumn id="4" name="单卡显存 GB"/>
    <x:tableColumn id="5" name="FP4 sparse 总 TF"/>
    <x:tableColumn id="6" name="FP4 dense 总 TF"/>
    <x:tableColumn id="7" name="单卡 FP4 dense TF"/>
    <x:tableColumn id="8" name="FP8/FP6 sparse 总 TF"/>
    <x:tableColumn id="9" name="稀疏系数"/>
    <x:tableColumn id="10" name="单卡 FP8/FP6 dense TF"/>
    <x:tableColumn id="11" name="INT8 sparse 总 TOPS"/>
    <x:tableColumn id="12" name="单卡 INT8 dense TOPS"/>
    <x:tableColumn id="13" name="FP16/BF16 sparse 总 TF"/>
    <x:tableColumn id="14" name="单卡 FP16/BF16 dense TF"/>
    <x:tableColumn id="15" name="TF32 sparse 总 TF"/>
    <x:tableColumn id="16" name="单卡 TF32 dense TF"/>
    <x:tableColumn id="17" name="FP32 总 TF"/>
    <x:tableColumn id="18" name="单卡 FP32 TF"/>
    <x:tableColumn id="19" name="FP64/TC 总 TF"/>
    <x:tableColumn id="20" name="单卡 FP64/TC TF"/>
    <x:tableColumn id="21" name="特别说明"/>
    <x:tableColumn id="22" name="来源 URL"/>
  </x:tableColumns>
  <x:tableStyleInfo name="TableStyleMedium2" showRowStripes="1"/>
</x:table>
</file>

<file path=xl/tables/table5.xml><?xml version="1.0" encoding="utf-8"?>
<x:table xmlns:x="http://schemas.openxmlformats.org/spreadsheetml/2006/main" id="4" name="SystemPlatforms" displayName="SystemPlatforms" ref="A4:P10" headerRowCount="1">
  <x:tableColumns count="16">
    <x:tableColumn id="1" name="平台"/>
    <x:tableColumn id="2" name="架构"/>
    <x:tableColumn id="3" name="GPU 数"/>
    <x:tableColumn id="4" name="GPU 显存总量 (GB)"/>
    <x:tableColumn id="5" name="HBM 总带宽 (TB/s)"/>
    <x:tableColumn id="6" name="FP4 dense (PFLOPS)"/>
    <x:tableColumn id="7" name="FP8/FP6 dense (PFLOPS)"/>
    <x:tableColumn id="8" name="FP16/BF16 dense (PFLOPS)"/>
    <x:tableColumn id="9" name="TF32 dense (PFLOPS)"/>
    <x:tableColumn id="10" name="INT8 dense (POPS)"/>
    <x:tableColumn id="11" name="FP32 (TFLOPS)"/>
    <x:tableColumn id="12" name="FP64/FP64 TC (TFLOPS)"/>
    <x:tableColumn id="13" name="NVLink 总带宽 (TB/s)"/>
    <x:tableColumn id="14" name="系统功耗"/>
    <x:tableColumn id="15" name="说明"/>
    <x:tableColumn id="16" name="来源 URL"/>
  </x:tableColumns>
  <x:tableStyleInfo name="TableStyleMedium2" showRowStripes="1"/>
</x:table>
</file>

<file path=xl/tables/table6.xml><?xml version="1.0" encoding="utf-8"?>
<x:table xmlns:x="http://schemas.openxmlformats.org/spreadsheetml/2006/main" id="5" name="SourceMap" displayName="SourceMap" ref="A4:E23" headerRowCount="1">
  <x:tableColumns count="5">
    <x:tableColumn id="1" name="来源名称"/>
    <x:tableColumn id="2" name="覆盖型号/用途"/>
    <x:tableColumn id="3" name="来源级别"/>
    <x:tableColumn id="4" name="URL"/>
    <x:tableColumn id="5" name="口径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03327aba5314f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e276e56c9a40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84ad14329c44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20b6a7aec04f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4c670e5f0547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54af5c4b8143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45d7aa09a94a1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36" hidden="0" customWidth="1"/>
    <x:col min="5" max="5" width="16" hidden="0" customWidth="1"/>
    <x:col min="6" max="6" width="3" hidden="0" customWidth="1"/>
    <x:col min="7" max="7" width="2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2" customHeight="1">
      <x:c r="A1" s="96" t="str">
        <x:v>NVIDIA Ampere → Blackwell：Dense Tensor Core 算力总表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5" customHeight="1">
      <x:c r="A2" s="97" t="str">
        <x:v>覆盖消费级旗舰、主要企业/数据中心单卡及 Blackwell 系统级平台｜整理日期：2026-07-25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>
      <x:c r="A3" s="98"/>
    </x:row>
    <x:row r="4">
      <x:c r="A4" s="22" t="str">
        <x:v>覆盖范围</x:v>
      </x:c>
      <x:c r="B4" s="22" t="str">
        <x:v>数量</x:v>
      </x:c>
      <x:c r="C4" s="22" t="str">
        <x:v>主表</x:v>
      </x:c>
      <x:c r="D4" s="22" t="str">
        <x:v>说明</x:v>
      </x:c>
    </x:row>
    <x:row r="5">
      <x:c r="A5" s="30" t="str">
        <x:v>消费级旗舰</x:v>
      </x:c>
      <x:c r="B5" s="30" t="n">
        <x:v>3</x:v>
      </x:c>
      <x:c r="C5" s="30" t="str">
        <x:v>消费级旗舰</x:v>
      </x:c>
      <x:c r="D5" s="30" t="str">
        <x:v>RTX 3090 Ti、RTX 4090、RTX 5090；按累加精度拆分。</x:v>
      </x:c>
    </x:row>
    <x:row r="6">
      <x:c r="A6" s="30" t="str">
        <x:v>企业/数据中心单卡</x:v>
      </x:c>
      <x:c r="B6" s="30" t="n">
        <x:v>20</x:v>
      </x:c>
      <x:c r="C6" s="30" t="str">
        <x:v>企业计算卡</x:v>
      </x:c>
      <x:c r="D6" s="30" t="str">
        <x:v>A2/A10/A30/A40/A100、L4/L40/L40S、H100/H200、RTX PRO、B100/B200/B300。</x:v>
      </x:c>
    </x:row>
    <x:row r="7">
      <x:c r="A7" s="30" t="str">
        <x:v>系统级平台</x:v>
      </x:c>
      <x:c r="B7" s="30" t="n">
        <x:v>6</x:v>
      </x:c>
      <x:c r="C7" s="30" t="str">
        <x:v>系统级附录</x:v>
      </x:c>
      <x:c r="D7" s="30" t="str">
        <x:v>HGX/DGX 与 GB200/GB300 NVL72；不可与单卡数字直接混用。</x:v>
      </x:c>
    </x:row>
    <x:row r="8">
      <x:c r="A8" s="30" t="str">
        <x:v>格式支持</x:v>
      </x:c>
      <x:c r="B8" s="30" t="n">
        <x:v>6</x:v>
      </x:c>
      <x:c r="C8" s="30" t="str">
        <x:v>格式支持矩阵</x:v>
      </x:c>
      <x:c r="D8" s="30" t="str">
        <x:v>区分“硬件支持”“官方未列峰值”“不支持”。</x:v>
      </x:c>
    </x:row>
    <x:row r="9">
      <x:c r="A9" s="98"/>
    </x:row>
    <x:row r="10">
      <x:c r="A10" s="37" t="str">
        <x:v>口径规则（务必先读）</x:v>
      </x:c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</x:row>
    <x:row r="11" ht="34" customHeight="1">
      <x:c r="A11" s="44" t="str">
        <x:v>1</x:v>
      </x:c>
      <x:c r="B11" s="49" t="str">
        <x:v>Dense 统一口径</x:v>
      </x:c>
      <x:c r="C11" s="30" t="str">
        <x:v>NVIDIA 产品页常把带 2:4 sparsity 的有效吞吐作为主数字。本工作簿在脚注明确“with sparsity”时统一除以 2；若官方同时列 dense|sparse，则直接取 dense。</x:v>
      </x:c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</x:row>
    <x:row r="12" ht="34" customHeight="1">
      <x:c r="A12" s="44" t="str">
        <x:v>2</x:v>
      </x:c>
      <x:c r="B12" s="49" t="str">
        <x:v>FLOPS 与 OPS</x:v>
      </x:c>
      <x:c r="C12" s="30" t="str">
        <x:v>浮点格式（TF32/BF16/FP16/FP8/FP6/FP4）用 TFLOPS；整数格式（INT8/INT4）用 TOPS。系统级表改用 PFLOPS/POPS。</x:v>
      </x:c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</x:row>
    <x:row r="13" ht="34" customHeight="1">
      <x:c r="A13" s="44" t="str">
        <x:v>3</x:v>
      </x:c>
      <x:c r="B13" s="49" t="str">
        <x:v>累加精度</x:v>
      </x:c>
      <x:c r="C13" s="30" t="str">
        <x:v>GeForce 白皮书会区分 FP16/FP8 的 FP16 累加与 FP32 累加；企业产品页通常只列标准 Tensor Core 峰值，不总是拆分累加模式。</x:v>
      </x:c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</x:row>
    <x:row r="14" ht="34" customHeight="1">
      <x:c r="A14" s="44" t="str">
        <x:v>4</x:v>
      </x:c>
      <x:c r="B14" s="49" t="str">
        <x:v>空白单元格</x:v>
      </x:c>
      <x:c r="C14" s="30" t="str">
        <x:v>表示该格式不受支持、没有原生峰值，或 NVIDIA 未公布。具体原因写在“说明/备注”列和“格式支持矩阵”中。</x:v>
      </x:c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</x:row>
    <x:row r="15" ht="34" customHeight="1">
      <x:c r="A15" s="44" t="str">
        <x:v>5</x:v>
      </x:c>
      <x:c r="B15" s="49" t="str">
        <x:v>B200/B300</x:v>
      </x:c>
      <x:c r="C15" s="30" t="str">
        <x:v>NVIDIA 当前主要公布 8-GPU HGX/DGX 总量。企业单卡表的 B200/B300 数值按官方脚注折算 dense 后再除以 8；完整公式见“Blackwell推导”。</x:v>
      </x:c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</x:row>
    <x:row r="16" ht="34" customHeight="1">
      <x:c r="A16" s="44" t="str">
        <x:v>6</x:v>
      </x:c>
      <x:c r="B16" s="49" t="str">
        <x:v>理论峰值</x:v>
      </x:c>
      <x:c r="C16" s="30" t="str">
        <x:v>这些是峰值矩阵吞吐，不等于 GEMM、LLM prefill/decode 或训练的实际持续性能；利用率受矩阵尺寸、数据布局、量化/反量化、带宽与软件栈影响。</x:v>
      </x:c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</x:row>
    <x:row r="17">
      <x:c r="A17" s="98"/>
    </x:row>
    <x:row r="18">
      <x:c r="A18" s="22" t="str">
        <x:v>代表卡</x:v>
      </x:c>
      <x:c r="B18" s="22" t="str">
        <x:v>TF32 dense</x:v>
      </x:c>
      <x:c r="C18" s="22" t="str">
        <x:v>BF16/FP16 dense</x:v>
      </x:c>
      <x:c r="D18" s="22" t="str">
        <x:v>FP8 dense</x:v>
      </x:c>
      <x:c r="E18" s="22" t="str">
        <x:v>FP4 dense</x:v>
      </x:c>
      <x:c r="G18" s="37" t="str">
        <x:v>代际结论速览</x:v>
      </x:c>
      <x:c r="H18" s="37"/>
      <x:c r="I18" s="37"/>
      <x:c r="J18" s="37"/>
      <x:c r="K18" s="37"/>
      <x:c r="L18" s="37"/>
      <x:c r="M18" s="37"/>
      <x:c r="N18" s="37"/>
    </x:row>
    <x:row r="19" ht="30" customHeight="1">
      <x:c r="A19" s="30" t="str">
        <x:v>RTX 3090 Ti</x:v>
      </x:c>
      <x:c r="B19" s="52" t="n">
        <x:v>40</x:v>
      </x:c>
      <x:c r="C19" s="52" t="n">
        <x:v>80</x:v>
      </x:c>
      <x:c r="D19" s="52"/>
      <x:c r="E19" s="52"/>
      <x:c r="G19" s="49" t="str">
        <x:v>Ampere</x:v>
      </x:c>
      <x:c r="H19" s="30" t="str">
        <x:v>首次普及 TF32/BF16 与 2:4 sparsity；A100 同时提供强 FP64 Tensor Core。</x:v>
      </x:c>
      <x:c r="I19" s="30"/>
      <x:c r="J19" s="30"/>
      <x:c r="K19" s="30"/>
      <x:c r="L19" s="30"/>
      <x:c r="M19" s="30"/>
      <x:c r="N19" s="30"/>
    </x:row>
    <x:row r="20" ht="30" customHeight="1">
      <x:c r="A20" s="30" t="str">
        <x:v>RTX 4090</x:v>
      </x:c>
      <x:c r="B20" s="52" t="n">
        <x:v>82.6</x:v>
      </x:c>
      <x:c r="C20" s="52" t="n">
        <x:v>165.2</x:v>
      </x:c>
      <x:c r="D20" s="52" t="n">
        <x:v>330.3</x:v>
      </x:c>
      <x:c r="E20" s="52"/>
      <x:c r="G20" s="49" t="str">
        <x:v>Ada</x:v>
      </x:c>
      <x:c r="H20" s="30" t="str">
        <x:v>引入 FP8；RTX 4090/L40 系列的低精度矩阵吞吐显著上升。</x:v>
      </x:c>
      <x:c r="I20" s="30"/>
      <x:c r="J20" s="30"/>
      <x:c r="K20" s="30"/>
      <x:c r="L20" s="30"/>
      <x:c r="M20" s="30"/>
      <x:c r="N20" s="30"/>
    </x:row>
    <x:row r="21" ht="30" customHeight="1">
      <x:c r="A21" s="30" t="str">
        <x:v>RTX 5090</x:v>
      </x:c>
      <x:c r="B21" s="52" t="n">
        <x:v>104.8</x:v>
      </x:c>
      <x:c r="C21" s="52" t="n">
        <x:v>209.5</x:v>
      </x:c>
      <x:c r="D21" s="52" t="n">
        <x:v>419</x:v>
      </x:c>
      <x:c r="E21" s="52" t="n">
        <x:v>1676</x:v>
      </x:c>
      <x:c r="G21" s="49" t="str">
        <x:v>Hopper</x:v>
      </x:c>
      <x:c r="H21" s="30" t="str">
        <x:v>Transformer Engine 将 FP8 推向训练/推理主流；H200 主要升级显存容量与带宽。</x:v>
      </x:c>
      <x:c r="I21" s="30"/>
      <x:c r="J21" s="30"/>
      <x:c r="K21" s="30"/>
      <x:c r="L21" s="30"/>
      <x:c r="M21" s="30"/>
      <x:c r="N21" s="30"/>
    </x:row>
    <x:row r="22" ht="30" customHeight="1">
      <x:c r="A22" s="30" t="str">
        <x:v>A100 80GB SXM</x:v>
      </x:c>
      <x:c r="B22" s="52" t="n">
        <x:v>156</x:v>
      </x:c>
      <x:c r="C22" s="52" t="n">
        <x:v>312</x:v>
      </x:c>
      <x:c r="D22" s="52"/>
      <x:c r="E22" s="52"/>
      <x:c r="G22" s="49" t="str">
        <x:v>RTX Blackwell</x:v>
      </x:c>
      <x:c r="H22" s="30" t="str">
        <x:v>新增 FP6 与 FP4；RTX 5090 dense FP4 为 1.676 PFLOPS。</x:v>
      </x:c>
      <x:c r="I22" s="30"/>
      <x:c r="J22" s="30"/>
      <x:c r="K22" s="30"/>
      <x:c r="L22" s="30"/>
      <x:c r="M22" s="30"/>
      <x:c r="N22" s="30"/>
    </x:row>
    <x:row r="23" ht="30" customHeight="1">
      <x:c r="A23" s="30" t="str">
        <x:v>H100 SXM</x:v>
      </x:c>
      <x:c r="B23" s="52" t="n">
        <x:v>494.5</x:v>
      </x:c>
      <x:c r="C23" s="52" t="n">
        <x:v>989.5</x:v>
      </x:c>
      <x:c r="D23" s="52" t="n">
        <x:v>1979</x:v>
      </x:c>
      <x:c r="E23" s="52"/>
      <x:c r="G23" s="49" t="str">
        <x:v>Datacenter Blackwell</x:v>
      </x:c>
      <x:c r="H23" s="30" t="str">
        <x:v>B200 dense NVFP4 为 9 PFLOPS/卡；B300 HGX SKU 为 13.5 PFLOPS/卡。</x:v>
      </x:c>
      <x:c r="I23" s="30"/>
      <x:c r="J23" s="30"/>
      <x:c r="K23" s="30"/>
      <x:c r="L23" s="30"/>
      <x:c r="M23" s="30"/>
      <x:c r="N23" s="30"/>
    </x:row>
    <x:row r="24" ht="30" customHeight="1">
      <x:c r="A24" s="30" t="str">
        <x:v>B200 SXM</x:v>
      </x:c>
      <x:c r="B24" s="52" t="n">
        <x:v>1125</x:v>
      </x:c>
      <x:c r="C24" s="52" t="n">
        <x:v>2250</x:v>
      </x:c>
      <x:c r="D24" s="52" t="n">
        <x:v>4500</x:v>
      </x:c>
      <x:c r="E24" s="52" t="n">
        <x:v>9000</x:v>
      </x:c>
      <x:c r="G24" s="49" t="str">
        <x:v>B300 注意项</x:v>
      </x:c>
      <x:c r="H24" s="30" t="str">
        <x:v>当前 HGX 官方表的 INT8 与 FP64 数字相对 B200 极低；表中未纠正或猜测，严格按官方脚注折算。</x:v>
      </x:c>
      <x:c r="I24" s="30"/>
      <x:c r="J24" s="30"/>
      <x:c r="K24" s="30"/>
      <x:c r="L24" s="30"/>
      <x:c r="M24" s="30"/>
      <x:c r="N24" s="30"/>
    </x:row>
    <x:row r="25" ht="30" customHeight="1">
      <x:c r="A25" s="30" t="str">
        <x:v>B300 SXM (HGX SKU)</x:v>
      </x:c>
      <x:c r="B25" s="52" t="n">
        <x:v>1125</x:v>
      </x:c>
      <x:c r="C25" s="52" t="n">
        <x:v>2250</x:v>
      </x:c>
      <x:c r="D25" s="52" t="n">
        <x:v>4500</x:v>
      </x:c>
      <x:c r="E25" s="52" t="n">
        <x:v>13500</x:v>
      </x:c>
      <x:c r="G25" s="49" t="str">
        <x:v>实际性能</x:v>
      </x:c>
      <x:c r="H25" s="30" t="str">
        <x:v>对 LLM 而言，W4A16 不会自动使用 FP4 Tensor Core；要获得 W4A4/NVFP4 峰值通常需要量化激活并使用对应 MMA 路径。</x:v>
      </x:c>
      <x:c r="I25" s="30"/>
      <x:c r="J25" s="30"/>
      <x:c r="K25" s="30"/>
      <x:c r="L25" s="30"/>
      <x:c r="M25" s="30"/>
      <x:c r="N25" s="30"/>
    </x:row>
  </x:sheetData>
  <x:mergeCells>
    <x:mergeCell ref="A1:N1"/>
    <x:mergeCell ref="A2:N2"/>
    <x:mergeCell ref="A10:N10"/>
    <x:mergeCell ref="C11:N11"/>
    <x:mergeCell ref="C12:N12"/>
    <x:mergeCell ref="C13:N13"/>
    <x:mergeCell ref="C14:N14"/>
    <x:mergeCell ref="C15:N15"/>
    <x:mergeCell ref="C16:N16"/>
    <x:mergeCell ref="G18:N18"/>
    <x:mergeCell ref="H19:N19"/>
    <x:mergeCell ref="H20:N20"/>
    <x:mergeCell ref="H21:N21"/>
    <x:mergeCell ref="H22:N22"/>
    <x:mergeCell ref="H23:N23"/>
    <x:mergeCell ref="H24:N24"/>
    <x:mergeCell ref="H25:N25"/>
  </x:mergeCells>
  <x:conditionalFormatting sqref="B19:E25">
    <x:cfRule type="dataBar" priority="1">
      <x:dataBar>
        <x:cfvo type="min"/>
        <x:cfvo type="max"/>
        <x:color rgb="FF76B900"/>
      </x:dataBar>
      <x:extLst>
        <x:ext xmlns:x14="http://schemas.microsoft.com/office/spreadsheetml/2009/9/main" uri="{B025F937-C7B1-47D3-B67F-A62EFF666E3E}">
          <x14:id>{76496C7F-B707-DA29-23C1-5880DE67630C}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903327aba5314f9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6496C7F-B707-DA29-23C1-5880DE67630C}">
            <x14:dataBar gradient="1">
              <x14:cfvo type="min"/>
              <x14:cfvo type="max"/>
              <x14:fillColor rgb="FF76B900"/>
            </x14:dataBar>
          </x14:cfRule>
          <xm:sqref>B19:E25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0" hidden="0" customWidth="1"/>
    <x:col min="4" max="4" width="11" hidden="0" customWidth="1"/>
    <x:col min="5" max="5" width="7" hidden="0" customWidth="1"/>
    <x:col min="6" max="6" width="12" hidden="0" customWidth="1"/>
    <x:col min="7" max="7" width="12" hidden="0" customWidth="1"/>
    <x:col min="8" max="8" width="10" hidden="0" customWidth="1"/>
    <x:col min="9" max="9" width="12" hidden="0" customWidth="1"/>
    <x:col min="10" max="10" width="12" hidden="0" customWidth="1"/>
    <x:col min="11" max="11" width="9" hidden="0" customWidth="1"/>
    <x:col min="12" max="12" width="14" hidden="0" customWidth="1"/>
    <x:col min="13" max="13" width="14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3" hidden="0" customWidth="1"/>
    <x:col min="20" max="20" width="17" hidden="0" customWidth="1"/>
    <x:col min="21" max="21" width="16" hidden="0" customWidth="1"/>
    <x:col min="22" max="22" width="16" hidden="0" customWidth="1"/>
    <x:col min="23" max="23" width="42" hidden="0" customWidth="1"/>
    <x:col min="24" max="24" width="48" hidden="0" customWidth="1"/>
  </x:cols>
  <x:sheetData>
    <x:row r="1" ht="32" customHeight="1">
      <x:c r="A1" s="5" t="str">
        <x:v>NVIDIA GPU Dense Tensor Core 参数汇总｜消费级旗舰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25" customHeight="1">
      <x:c r="A2" s="13" t="str">
        <x:v>整理日期：2026-07-25｜浮点单位 TFLOPS（系统表为 PFLOPS），整数单位 TOPS/POPS｜仅 dense，不使用 2:4 sparsity 加速数字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</x:row>
    <x:row r="4" ht="42" customHeight="1">
      <x:c r="A4" s="22" t="str">
        <x:v>架构</x:v>
      </x:c>
      <x:c r="B4" s="22" t="str">
        <x:v>型号</x:v>
      </x:c>
      <x:c r="C4" s="22" t="str">
        <x:v>GPU</x:v>
      </x:c>
      <x:c r="D4" s="22" t="str">
        <x:v>Tensor Core</x:v>
      </x:c>
      <x:c r="E4" s="22" t="str">
        <x:v>SM</x:v>
      </x:c>
      <x:c r="F4" s="22" t="str">
        <x:v>CUDA Cores</x:v>
      </x:c>
      <x:c r="G4" s="22" t="str">
        <x:v>Tensor Cores</x:v>
      </x:c>
      <x:c r="H4" s="22" t="str">
        <x:v>显存 (GB)</x:v>
      </x:c>
      <x:c r="I4" s="22" t="str">
        <x:v>显存类型</x:v>
      </x:c>
      <x:c r="J4" s="22" t="str">
        <x:v>带宽 (GB/s)</x:v>
      </x:c>
      <x:c r="K4" s="22" t="str">
        <x:v>TGP (W)</x:v>
      </x:c>
      <x:c r="L4" s="22" t="str">
        <x:v>FP32 CUDA (TFLOPS)</x:v>
      </x:c>
      <x:c r="M4" s="22" t="str">
        <x:v>TF32 dense (TFLOPS)</x:v>
      </x:c>
      <x:c r="N4" s="22" t="str">
        <x:v>BF16+FP32累加 dense</x:v>
      </x:c>
      <x:c r="O4" s="22" t="str">
        <x:v>FP16+FP32累加 dense</x:v>
      </x:c>
      <x:c r="P4" s="22" t="str">
        <x:v>FP16+FP16累加 dense</x:v>
      </x:c>
      <x:c r="Q4" s="22" t="str">
        <x:v>FP8+FP32累加 dense</x:v>
      </x:c>
      <x:c r="R4" s="22" t="str">
        <x:v>FP8+FP16累加 dense</x:v>
      </x:c>
      <x:c r="S4" s="22" t="str">
        <x:v>FP6 dense</x:v>
      </x:c>
      <x:c r="T4" s="22" t="str">
        <x:v>FP4+FP32累加 dense</x:v>
      </x:c>
      <x:c r="U4" s="22" t="str">
        <x:v>INT8 dense (TOPS)</x:v>
      </x:c>
      <x:c r="V4" s="22" t="str">
        <x:v>INT4 dense (TOPS)</x:v>
      </x:c>
      <x:c r="W4" s="22" t="str">
        <x:v>说明</x:v>
      </x:c>
      <x:c r="X4" s="22" t="str">
        <x:v>来源 URL</x:v>
      </x:c>
    </x:row>
    <x:row r="5" ht="44" customHeight="1">
      <x:c r="A5" s="54" t="str">
        <x:v>Ampere</x:v>
      </x:c>
      <x:c r="B5" s="54" t="str">
        <x:v>GeForce RTX 3090 Ti</x:v>
      </x:c>
      <x:c r="C5" s="54" t="str">
        <x:v>GA102</x:v>
      </x:c>
      <x:c r="D5" s="54" t="str">
        <x:v>第3代</x:v>
      </x:c>
      <x:c r="E5" s="102" t="n">
        <x:v>84</x:v>
      </x:c>
      <x:c r="F5" s="102" t="n">
        <x:v>10752</x:v>
      </x:c>
      <x:c r="G5" s="102" t="n">
        <x:v>336</x:v>
      </x:c>
      <x:c r="H5" s="102" t="n">
        <x:v>24</x:v>
      </x:c>
      <x:c r="I5" s="102" t="str">
        <x:v>GDDR6X</x:v>
      </x:c>
      <x:c r="J5" s="102" t="n">
        <x:v>1008</x:v>
      </x:c>
      <x:c r="K5" s="102" t="n">
        <x:v>450</x:v>
      </x:c>
      <x:c r="L5" s="103" t="n">
        <x:v>40</x:v>
      </x:c>
      <x:c r="M5" s="103" t="n">
        <x:v>40</x:v>
      </x:c>
      <x:c r="N5" s="103" t="n">
        <x:v>80</x:v>
      </x:c>
      <x:c r="O5" s="103" t="n">
        <x:v>80</x:v>
      </x:c>
      <x:c r="P5" s="103" t="n">
        <x:v>160</x:v>
      </x:c>
      <x:c r="Q5" s="103"/>
      <x:c r="R5" s="103"/>
      <x:c r="S5" s="103"/>
      <x:c r="T5" s="103"/>
      <x:c r="U5" s="103" t="n">
        <x:v>320</x:v>
      </x:c>
      <x:c r="V5" s="103" t="n">
        <x:v>640</x:v>
      </x:c>
      <x:c r="W5" s="54" t="str">
        <x:v>Ampere 消费级旗舰。所有 Tensor 数值均取非稀疏（官方斜杠前数值）。</x:v>
      </x:c>
      <x:c r="X5" s="54" t="str">
        <x:v>https://images.nvidia.com/aem-dam/Solutions/geforce/ada/nvidia-ada-gpu-architecture.pdf</x:v>
      </x:c>
    </x:row>
    <x:row r="6" ht="44" customHeight="1">
      <x:c r="A6" s="56" t="str">
        <x:v>Ada Lovelace</x:v>
      </x:c>
      <x:c r="B6" s="56" t="str">
        <x:v>GeForce RTX 4090</x:v>
      </x:c>
      <x:c r="C6" s="56" t="str">
        <x:v>AD102</x:v>
      </x:c>
      <x:c r="D6" s="56" t="str">
        <x:v>第4代</x:v>
      </x:c>
      <x:c r="E6" s="104" t="n">
        <x:v>128</x:v>
      </x:c>
      <x:c r="F6" s="104" t="n">
        <x:v>16384</x:v>
      </x:c>
      <x:c r="G6" s="104" t="n">
        <x:v>512</x:v>
      </x:c>
      <x:c r="H6" s="104" t="n">
        <x:v>24</x:v>
      </x:c>
      <x:c r="I6" s="104" t="str">
        <x:v>GDDR6X</x:v>
      </x:c>
      <x:c r="J6" s="104" t="n">
        <x:v>1008</x:v>
      </x:c>
      <x:c r="K6" s="104" t="n">
        <x:v>450</x:v>
      </x:c>
      <x:c r="L6" s="105" t="n">
        <x:v>82.6</x:v>
      </x:c>
      <x:c r="M6" s="105" t="n">
        <x:v>82.6</x:v>
      </x:c>
      <x:c r="N6" s="105" t="n">
        <x:v>165.2</x:v>
      </x:c>
      <x:c r="O6" s="105" t="n">
        <x:v>165.2</x:v>
      </x:c>
      <x:c r="P6" s="105" t="n">
        <x:v>330.3</x:v>
      </x:c>
      <x:c r="Q6" s="105" t="n">
        <x:v>330.3</x:v>
      </x:c>
      <x:c r="R6" s="105" t="n">
        <x:v>660.6</x:v>
      </x:c>
      <x:c r="S6" s="105"/>
      <x:c r="T6" s="105"/>
      <x:c r="U6" s="105" t="n">
        <x:v>660.6</x:v>
      </x:c>
      <x:c r="V6" s="105" t="n">
        <x:v>1321.2</x:v>
      </x:c>
      <x:c r="W6" s="56" t="str">
        <x:v>Ada 新增原生 FP8；FP8/FP16 均区分累加精度。所有数值为 dense。</x:v>
      </x:c>
      <x:c r="X6" s="56" t="str">
        <x:v>https://images.nvidia.com/aem-dam/Solutions/geforce/ada/nvidia-ada-gpu-architecture.pdf</x:v>
      </x:c>
    </x:row>
    <x:row r="7" ht="44" customHeight="1">
      <x:c r="A7" s="58" t="str">
        <x:v>Blackwell RTX</x:v>
      </x:c>
      <x:c r="B7" s="58" t="str">
        <x:v>GeForce RTX 5090</x:v>
      </x:c>
      <x:c r="C7" s="58" t="str">
        <x:v>GB202</x:v>
      </x:c>
      <x:c r="D7" s="58" t="str">
        <x:v>第5代</x:v>
      </x:c>
      <x:c r="E7" s="106" t="n">
        <x:v>170</x:v>
      </x:c>
      <x:c r="F7" s="106" t="n">
        <x:v>21760</x:v>
      </x:c>
      <x:c r="G7" s="106" t="n">
        <x:v>680</x:v>
      </x:c>
      <x:c r="H7" s="106" t="n">
        <x:v>32</x:v>
      </x:c>
      <x:c r="I7" s="106" t="str">
        <x:v>GDDR7</x:v>
      </x:c>
      <x:c r="J7" s="106" t="n">
        <x:v>1792</x:v>
      </x:c>
      <x:c r="K7" s="106" t="n">
        <x:v>575</x:v>
      </x:c>
      <x:c r="L7" s="107" t="n">
        <x:v>104.8</x:v>
      </x:c>
      <x:c r="M7" s="107" t="n">
        <x:v>104.8</x:v>
      </x:c>
      <x:c r="N7" s="107" t="n">
        <x:v>209.5</x:v>
      </x:c>
      <x:c r="O7" s="107" t="n">
        <x:v>209.5</x:v>
      </x:c>
      <x:c r="P7" s="107" t="n">
        <x:v>419</x:v>
      </x:c>
      <x:c r="Q7" s="107" t="n">
        <x:v>419</x:v>
      </x:c>
      <x:c r="R7" s="107" t="n">
        <x:v>838</x:v>
      </x:c>
      <x:c r="S7" s="107"/>
      <x:c r="T7" s="107" t="n">
        <x:v>1676</x:v>
      </x:c>
      <x:c r="U7" s="107" t="n">
        <x:v>838</x:v>
      </x:c>
      <x:c r="V7" s="107"/>
      <x:c r="W7" s="58" t="str">
        <x:v>支持 FP6，但 NVIDIA 未在 RTX 5090 产品峰值表中单列 FP6 数字；INT4 未列为 RTX Blackwell Tensor Core 原生格式。</x:v>
      </x:c>
      <x:c r="X7" s="58" t="str">
        <x:v>https://images.nvidia.com/aem-dam/Solutions/geforce/blackwell/nvidia-rtx-blackwell-gpu-architecture.pdf</x:v>
      </x:c>
    </x:row>
    <x:row r="10" ht="30" customHeight="1">
      <x:c r="A10" s="136" t="str">
        <x:v>注：峰值算力是理论上限；空白不等同于 0。请结合“格式支持矩阵”和备注列判断是不支持、未发布，还是未按该模式单列。</x:v>
      </x:c>
      <x:c r="B10" s="136"/>
      <x:c r="C10" s="136"/>
      <x:c r="D10" s="136"/>
      <x:c r="E10" s="136"/>
      <x:c r="F10" s="136"/>
      <x:c r="G10" s="136"/>
      <x:c r="H10" s="136"/>
      <x:c r="I10" s="136"/>
      <x:c r="J10" s="136"/>
      <x:c r="K10" s="136"/>
      <x:c r="L10" s="136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</x:row>
  </x:sheetData>
  <x:mergeCells>
    <x:mergeCell ref="A1:X1"/>
    <x:mergeCell ref="A2:X2"/>
    <x:mergeCell ref="A10:X10"/>
  </x:mergeCells>
  <x:conditionalFormatting sqref="L5:V7">
    <x:cfRule type="colorScale" priority="1">
      <x:colorScale>
        <x:cfvo type="min"/>
        <x:cfvo type="percentile" val="50"/>
        <x:cfvo type="max"/>
        <x:color rgb="FFFFFFFF"/>
        <x:color rgb="FFD9F99D"/>
        <x:color rgb="FF76B90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3e276e56c9a405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28" hidden="0" customWidth="1"/>
    <x:col min="4" max="4" width="20" hidden="0" customWidth="1"/>
    <x:col min="5" max="5" width="16" hidden="0" customWidth="1"/>
    <x:col min="6" max="6" width="11" hidden="0" customWidth="1"/>
    <x:col min="7" max="7" width="7" hidden="0" customWidth="1"/>
    <x:col min="8" max="8" width="12" hidden="0" customWidth="1"/>
    <x:col min="9" max="9" width="12" hidden="0" customWidth="1"/>
    <x:col min="10" max="10" width="10" hidden="0" customWidth="1"/>
    <x:col min="11" max="11" width="13" hidden="0" customWidth="1"/>
    <x:col min="12" max="12" width="13" hidden="0" customWidth="1"/>
    <x:col min="13" max="13" width="12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8" hidden="0" customWidth="1"/>
    <x:col min="22" max="22" width="18" hidden="0" customWidth="1"/>
    <x:col min="23" max="23" width="18" hidden="0" customWidth="1"/>
    <x:col min="24" max="24" width="15" hidden="0" customWidth="1"/>
    <x:col min="25" max="25" width="58" hidden="0" customWidth="1"/>
    <x:col min="26" max="26" width="21" hidden="0" customWidth="1"/>
    <x:col min="27" max="27" width="52" hidden="0" customWidth="1"/>
  </x:cols>
  <x:sheetData>
    <x:row r="1" ht="32" customHeight="1">
      <x:c r="A1" s="5" t="str">
        <x:v>NVIDIA GPU Dense Tensor Core 参数汇总｜企业计算卡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 ht="25" customHeight="1">
      <x:c r="A2" s="13" t="str">
        <x:v>整理日期：2026-07-25｜浮点单位 TFLOPS（系统表为 PFLOPS），整数单位 TOPS/POPS｜仅 dense，不使用 2:4 sparsity 加速数字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</x:row>
    <x:row r="4" ht="42" customHeight="1">
      <x:c r="A4" s="22" t="str">
        <x:v>架构</x:v>
      </x:c>
      <x:c r="B4" s="22" t="str">
        <x:v>产品线</x:v>
      </x:c>
      <x:c r="C4" s="22" t="str">
        <x:v>型号</x:v>
      </x:c>
      <x:c r="D4" s="22" t="str">
        <x:v>形态</x:v>
      </x:c>
      <x:c r="E4" s="22" t="str">
        <x:v>GPU/芯片</x:v>
      </x:c>
      <x:c r="F4" s="22" t="str">
        <x:v>Tensor Core</x:v>
      </x:c>
      <x:c r="G4" s="22" t="str">
        <x:v>SM</x:v>
      </x:c>
      <x:c r="H4" s="22" t="str">
        <x:v>CUDA Cores</x:v>
      </x:c>
      <x:c r="I4" s="22" t="str">
        <x:v>Tensor Cores</x:v>
      </x:c>
      <x:c r="J4" s="22" t="str">
        <x:v>显存 (GB)</x:v>
      </x:c>
      <x:c r="K4" s="22" t="str">
        <x:v>显存类型</x:v>
      </x:c>
      <x:c r="L4" s="22" t="str">
        <x:v>带宽 (GB/s)</x:v>
      </x:c>
      <x:c r="M4" s="22" t="str">
        <x:v>功耗上限 (W)</x:v>
      </x:c>
      <x:c r="N4" s="22" t="str">
        <x:v>FP32 CUDA (TFLOPS)</x:v>
      </x:c>
      <x:c r="O4" s="22" t="str">
        <x:v>FP64 Tensor dense</x:v>
      </x:c>
      <x:c r="P4" s="22" t="str">
        <x:v>TF32 Tensor dense</x:v>
      </x:c>
      <x:c r="Q4" s="22" t="str">
        <x:v>BF16 Tensor dense</x:v>
      </x:c>
      <x:c r="R4" s="22" t="str">
        <x:v>FP16 Tensor dense</x:v>
      </x:c>
      <x:c r="S4" s="22" t="str">
        <x:v>FP8 Tensor dense</x:v>
      </x:c>
      <x:c r="T4" s="22" t="str">
        <x:v>FP6 Tensor dense</x:v>
      </x:c>
      <x:c r="U4" s="22" t="str">
        <x:v>FP4/NVFP4 Tensor dense</x:v>
      </x:c>
      <x:c r="V4" s="22" t="str">
        <x:v>INT8 Tensor dense (TOPS)</x:v>
      </x:c>
      <x:c r="W4" s="22" t="str">
        <x:v>INT4 Tensor dense (TOPS)</x:v>
      </x:c>
      <x:c r="X4" s="22" t="str">
        <x:v>NVLink/卡 (GB/s)</x:v>
      </x:c>
      <x:c r="Y4" s="22" t="str">
        <x:v>口径与备注</x:v>
      </x:c>
      <x:c r="Z4" s="22" t="str">
        <x:v>证据等级</x:v>
      </x:c>
      <x:c r="AA4" s="22" t="str">
        <x:v>来源 URL</x:v>
      </x:c>
    </x:row>
    <x:row r="5" ht="48" customHeight="1">
      <x:c r="A5" s="54" t="str">
        <x:v>Ampere</x:v>
      </x:c>
      <x:c r="B5" s="54" t="str">
        <x:v>A100</x:v>
      </x:c>
      <x:c r="C5" s="54" t="str">
        <x:v>A100 40GB PCIe</x:v>
      </x:c>
      <x:c r="D5" s="54" t="str">
        <x:v>PCIe 双槽</x:v>
      </x:c>
      <x:c r="E5" s="54" t="str">
        <x:v>GA100</x:v>
      </x:c>
      <x:c r="F5" s="54" t="str">
        <x:v>第3代</x:v>
      </x:c>
      <x:c r="G5" s="102"/>
      <x:c r="H5" s="102"/>
      <x:c r="I5" s="102"/>
      <x:c r="J5" s="102" t="n">
        <x:v>40</x:v>
      </x:c>
      <x:c r="K5" s="102" t="str">
        <x:v>HBM2</x:v>
      </x:c>
      <x:c r="L5" s="102" t="n">
        <x:v>1555</x:v>
      </x:c>
      <x:c r="M5" s="102" t="n">
        <x:v>250</x:v>
      </x:c>
      <x:c r="N5" s="103" t="n">
        <x:v>19.5</x:v>
      </x:c>
      <x:c r="O5" s="103" t="n">
        <x:v>19.5</x:v>
      </x:c>
      <x:c r="P5" s="103" t="n">
        <x:v>156</x:v>
      </x:c>
      <x:c r="Q5" s="103" t="n">
        <x:v>312</x:v>
      </x:c>
      <x:c r="R5" s="103" t="n">
        <x:v>312</x:v>
      </x:c>
      <x:c r="S5" s="103"/>
      <x:c r="T5" s="103"/>
      <x:c r="U5" s="103"/>
      <x:c r="V5" s="103" t="n">
        <x:v>624</x:v>
      </x:c>
      <x:c r="W5" s="103" t="n">
        <x:v>1248</x:v>
      </x:c>
      <x:c r="X5" s="103" t="n">
        <x:v>600</x:v>
      </x:c>
      <x:c r="Y5" s="54" t="str">
        <x:v>A100 PCIe；NVLink 为可选双卡桥。INT4 来自 Ampere Tensor Core 架构规格。</x:v>
      </x:c>
      <x:c r="Z5" s="54" t="str">
        <x:v>A（官方）</x:v>
      </x:c>
      <x:c r="AA5" s="54" t="str">
        <x:v>https://www.nvidia.com/content/dam/en-zz/Solutions/Data-Center/a100/pdf/nvidia-a100-datasheet-us-nvidia-1758950-r4-web.pdf</x:v>
      </x:c>
    </x:row>
    <x:row r="6" ht="48" customHeight="1">
      <x:c r="A6" s="54" t="str">
        <x:v>Ampere</x:v>
      </x:c>
      <x:c r="B6" s="54" t="str">
        <x:v>A100</x:v>
      </x:c>
      <x:c r="C6" s="54" t="str">
        <x:v>A100 80GB PCIe</x:v>
      </x:c>
      <x:c r="D6" s="54" t="str">
        <x:v>PCIe 双槽</x:v>
      </x:c>
      <x:c r="E6" s="54" t="str">
        <x:v>GA100</x:v>
      </x:c>
      <x:c r="F6" s="54" t="str">
        <x:v>第3代</x:v>
      </x:c>
      <x:c r="G6" s="102"/>
      <x:c r="H6" s="102"/>
      <x:c r="I6" s="102"/>
      <x:c r="J6" s="102" t="n">
        <x:v>80</x:v>
      </x:c>
      <x:c r="K6" s="102" t="str">
        <x:v>HBM2e</x:v>
      </x:c>
      <x:c r="L6" s="102" t="n">
        <x:v>1935</x:v>
      </x:c>
      <x:c r="M6" s="102" t="n">
        <x:v>300</x:v>
      </x:c>
      <x:c r="N6" s="103" t="n">
        <x:v>19.5</x:v>
      </x:c>
      <x:c r="O6" s="103" t="n">
        <x:v>19.5</x:v>
      </x:c>
      <x:c r="P6" s="103" t="n">
        <x:v>156</x:v>
      </x:c>
      <x:c r="Q6" s="103" t="n">
        <x:v>312</x:v>
      </x:c>
      <x:c r="R6" s="103" t="n">
        <x:v>312</x:v>
      </x:c>
      <x:c r="S6" s="103"/>
      <x:c r="T6" s="103"/>
      <x:c r="U6" s="103"/>
      <x:c r="V6" s="103" t="n">
        <x:v>624</x:v>
      </x:c>
      <x:c r="W6" s="103" t="n">
        <x:v>1248</x:v>
      </x:c>
      <x:c r="X6" s="103" t="n">
        <x:v>600</x:v>
      </x:c>
      <x:c r="Y6" s="54" t="str">
        <x:v>A100 PCIe；NVLink 为可选双卡桥。</x:v>
      </x:c>
      <x:c r="Z6" s="54" t="str">
        <x:v>A（官方）</x:v>
      </x:c>
      <x:c r="AA6" s="54" t="str">
        <x:v>https://www.nvidia.com/content/dam/en-zz/Solutions/Data-Center/a100/pdf/nvidia-a100-datasheet-us-nvidia-1758950-r4-web.pdf</x:v>
      </x:c>
    </x:row>
    <x:row r="7" ht="48" customHeight="1">
      <x:c r="A7" s="54" t="str">
        <x:v>Ampere</x:v>
      </x:c>
      <x:c r="B7" s="54" t="str">
        <x:v>A100</x:v>
      </x:c>
      <x:c r="C7" s="54" t="str">
        <x:v>A100 40GB SXM4</x:v>
      </x:c>
      <x:c r="D7" s="54" t="str">
        <x:v>SXM4</x:v>
      </x:c>
      <x:c r="E7" s="54" t="str">
        <x:v>GA100</x:v>
      </x:c>
      <x:c r="F7" s="54" t="str">
        <x:v>第3代</x:v>
      </x:c>
      <x:c r="G7" s="102"/>
      <x:c r="H7" s="102"/>
      <x:c r="I7" s="102"/>
      <x:c r="J7" s="102" t="n">
        <x:v>40</x:v>
      </x:c>
      <x:c r="K7" s="102" t="str">
        <x:v>HBM2</x:v>
      </x:c>
      <x:c r="L7" s="102" t="n">
        <x:v>1555</x:v>
      </x:c>
      <x:c r="M7" s="102" t="n">
        <x:v>400</x:v>
      </x:c>
      <x:c r="N7" s="103" t="n">
        <x:v>19.5</x:v>
      </x:c>
      <x:c r="O7" s="103" t="n">
        <x:v>19.5</x:v>
      </x:c>
      <x:c r="P7" s="103" t="n">
        <x:v>156</x:v>
      </x:c>
      <x:c r="Q7" s="103" t="n">
        <x:v>312</x:v>
      </x:c>
      <x:c r="R7" s="103" t="n">
        <x:v>312</x:v>
      </x:c>
      <x:c r="S7" s="103"/>
      <x:c r="T7" s="103"/>
      <x:c r="U7" s="103"/>
      <x:c r="V7" s="103" t="n">
        <x:v>624</x:v>
      </x:c>
      <x:c r="W7" s="103" t="n">
        <x:v>1248</x:v>
      </x:c>
      <x:c r="X7" s="103" t="n">
        <x:v>600</x:v>
      </x:c>
      <x:c r="Y7" s="54" t="str">
        <x:v>HGX/DGX 用 SXM4 版本。</x:v>
      </x:c>
      <x:c r="Z7" s="54" t="str">
        <x:v>A（官方）</x:v>
      </x:c>
      <x:c r="AA7" s="54" t="str">
        <x:v>https://www.nvidia.com/content/dam/en-zz/Solutions/Data-Center/a100/pdf/nvidia-a100-datasheet-us-nvidia-1758950-r4-web.pdf</x:v>
      </x:c>
    </x:row>
    <x:row r="8" ht="48" customHeight="1">
      <x:c r="A8" s="54" t="str">
        <x:v>Ampere</x:v>
      </x:c>
      <x:c r="B8" s="54" t="str">
        <x:v>A100</x:v>
      </x:c>
      <x:c r="C8" s="54" t="str">
        <x:v>A100 80GB SXM4</x:v>
      </x:c>
      <x:c r="D8" s="54" t="str">
        <x:v>SXM4</x:v>
      </x:c>
      <x:c r="E8" s="54" t="str">
        <x:v>GA100</x:v>
      </x:c>
      <x:c r="F8" s="54" t="str">
        <x:v>第3代</x:v>
      </x:c>
      <x:c r="G8" s="102"/>
      <x:c r="H8" s="102"/>
      <x:c r="I8" s="102"/>
      <x:c r="J8" s="102" t="n">
        <x:v>80</x:v>
      </x:c>
      <x:c r="K8" s="102" t="str">
        <x:v>HBM2e</x:v>
      </x:c>
      <x:c r="L8" s="102" t="n">
        <x:v>2039</x:v>
      </x:c>
      <x:c r="M8" s="102" t="n">
        <x:v>400</x:v>
      </x:c>
      <x:c r="N8" s="103" t="n">
        <x:v>19.5</x:v>
      </x:c>
      <x:c r="O8" s="103" t="n">
        <x:v>19.5</x:v>
      </x:c>
      <x:c r="P8" s="103" t="n">
        <x:v>156</x:v>
      </x:c>
      <x:c r="Q8" s="103" t="n">
        <x:v>312</x:v>
      </x:c>
      <x:c r="R8" s="103" t="n">
        <x:v>312</x:v>
      </x:c>
      <x:c r="S8" s="103"/>
      <x:c r="T8" s="103"/>
      <x:c r="U8" s="103"/>
      <x:c r="V8" s="103" t="n">
        <x:v>624</x:v>
      </x:c>
      <x:c r="W8" s="103" t="n">
        <x:v>1248</x:v>
      </x:c>
      <x:c r="X8" s="103" t="n">
        <x:v>600</x:v>
      </x:c>
      <x:c r="Y8" s="54" t="str">
        <x:v>Ampere 旗舰计算卡常用版本。</x:v>
      </x:c>
      <x:c r="Z8" s="54" t="str">
        <x:v>A（官方）</x:v>
      </x:c>
      <x:c r="AA8" s="54" t="str">
        <x:v>https://www.nvidia.com/content/dam/en-zz/Solutions/Data-Center/a100/pdf/nvidia-a100-datasheet-us-nvidia-1758950-r4-web.pdf</x:v>
      </x:c>
    </x:row>
    <x:row r="9" ht="48" customHeight="1">
      <x:c r="A9" s="54" t="str">
        <x:v>Ampere</x:v>
      </x:c>
      <x:c r="B9" s="54" t="str">
        <x:v>A30</x:v>
      </x:c>
      <x:c r="C9" s="54" t="str">
        <x:v>A30</x:v>
      </x:c>
      <x:c r="D9" s="54" t="str">
        <x:v>PCIe 双槽</x:v>
      </x:c>
      <x:c r="E9" s="54" t="str">
        <x:v>GA100</x:v>
      </x:c>
      <x:c r="F9" s="54" t="str">
        <x:v>第3代</x:v>
      </x:c>
      <x:c r="G9" s="102"/>
      <x:c r="H9" s="102"/>
      <x:c r="I9" s="102"/>
      <x:c r="J9" s="102" t="n">
        <x:v>24</x:v>
      </x:c>
      <x:c r="K9" s="102" t="str">
        <x:v>HBM2</x:v>
      </x:c>
      <x:c r="L9" s="102" t="n">
        <x:v>933</x:v>
      </x:c>
      <x:c r="M9" s="102" t="n">
        <x:v>165</x:v>
      </x:c>
      <x:c r="N9" s="103" t="n">
        <x:v>10.3</x:v>
      </x:c>
      <x:c r="O9" s="103" t="n">
        <x:v>10.3</x:v>
      </x:c>
      <x:c r="P9" s="103" t="n">
        <x:v>82</x:v>
      </x:c>
      <x:c r="Q9" s="103" t="n">
        <x:v>165</x:v>
      </x:c>
      <x:c r="R9" s="103" t="n">
        <x:v>165</x:v>
      </x:c>
      <x:c r="S9" s="103"/>
      <x:c r="T9" s="103"/>
      <x:c r="U9" s="103"/>
      <x:c r="V9" s="103" t="n">
        <x:v>330</x:v>
      </x:c>
      <x:c r="W9" s="103" t="n">
        <x:v>661</x:v>
      </x:c>
      <x:c r="X9" s="103" t="n">
        <x:v>200</x:v>
      </x:c>
      <x:c r="Y9" s="54" t="str">
        <x:v>面向主流 AI/HPC；所有值为 dense。</x:v>
      </x:c>
      <x:c r="Z9" s="54" t="str">
        <x:v>A（官方）</x:v>
      </x:c>
      <x:c r="AA9" s="54" t="str">
        <x:v>https://www.nvidia.com/content/dam/en-zz/Solutions/data-center/products/a30-gpu/pdf/a30-datasheet.pdf</x:v>
      </x:c>
    </x:row>
    <x:row r="10" ht="48" customHeight="1">
      <x:c r="A10" s="54" t="str">
        <x:v>Ampere</x:v>
      </x:c>
      <x:c r="B10" s="54" t="str">
        <x:v>A40</x:v>
      </x:c>
      <x:c r="C10" s="54" t="str">
        <x:v>A40</x:v>
      </x:c>
      <x:c r="D10" s="54" t="str">
        <x:v>PCIe 双槽</x:v>
      </x:c>
      <x:c r="E10" s="54" t="str">
        <x:v>GA102</x:v>
      </x:c>
      <x:c r="F10" s="54" t="str">
        <x:v>第3代</x:v>
      </x:c>
      <x:c r="G10" s="102" t="n">
        <x:v>84</x:v>
      </x:c>
      <x:c r="H10" s="102" t="n">
        <x:v>10752</x:v>
      </x:c>
      <x:c r="I10" s="102" t="n">
        <x:v>336</x:v>
      </x:c>
      <x:c r="J10" s="102" t="n">
        <x:v>48</x:v>
      </x:c>
      <x:c r="K10" s="102" t="str">
        <x:v>GDDR6 ECC</x:v>
      </x:c>
      <x:c r="L10" s="102" t="n">
        <x:v>696</x:v>
      </x:c>
      <x:c r="M10" s="102" t="n">
        <x:v>300</x:v>
      </x:c>
      <x:c r="N10" s="103" t="n">
        <x:v>37.4</x:v>
      </x:c>
      <x:c r="O10" s="103"/>
      <x:c r="P10" s="103" t="n">
        <x:v>74.8</x:v>
      </x:c>
      <x:c r="Q10" s="103" t="n">
        <x:v>149.7</x:v>
      </x:c>
      <x:c r="R10" s="103" t="n">
        <x:v>149.7</x:v>
      </x:c>
      <x:c r="S10" s="103"/>
      <x:c r="T10" s="103"/>
      <x:c r="U10" s="103"/>
      <x:c r="V10" s="103" t="n">
        <x:v>299.3</x:v>
      </x:c>
      <x:c r="W10" s="103" t="n">
        <x:v>598.7</x:v>
      </x:c>
      <x:c r="X10" s="103" t="n">
        <x:v>112.5</x:v>
      </x:c>
      <x:c r="Y10" s="54" t="str">
        <x:v>偏通用计算/可视化。FP16 官方表为 FP16 累加；BF16 为 FP32 累加。</x:v>
      </x:c>
      <x:c r="Z10" s="54" t="str">
        <x:v>A（官方）</x:v>
      </x:c>
      <x:c r="AA10" s="54" t="str">
        <x:v>https://images.nvidia.com/content/Solutions/data-center/a40/nvidia-a40-datasheet.pdf</x:v>
      </x:c>
    </x:row>
    <x:row r="11" ht="48" customHeight="1">
      <x:c r="A11" s="54" t="str">
        <x:v>Ampere</x:v>
      </x:c>
      <x:c r="B11" s="54" t="str">
        <x:v>A10</x:v>
      </x:c>
      <x:c r="C11" s="54" t="str">
        <x:v>A10</x:v>
      </x:c>
      <x:c r="D11" s="54" t="str">
        <x:v>PCIe 单槽 FHFL</x:v>
      </x:c>
      <x:c r="E11" s="54" t="str">
        <x:v>GA102</x:v>
      </x:c>
      <x:c r="F11" s="54" t="str">
        <x:v>第3代</x:v>
      </x:c>
      <x:c r="G11" s="102"/>
      <x:c r="H11" s="102"/>
      <x:c r="I11" s="102"/>
      <x:c r="J11" s="102" t="n">
        <x:v>24</x:v>
      </x:c>
      <x:c r="K11" s="102" t="str">
        <x:v>GDDR6</x:v>
      </x:c>
      <x:c r="L11" s="102" t="n">
        <x:v>600</x:v>
      </x:c>
      <x:c r="M11" s="102" t="n">
        <x:v>150</x:v>
      </x:c>
      <x:c r="N11" s="103" t="n">
        <x:v>31.2</x:v>
      </x:c>
      <x:c r="O11" s="103"/>
      <x:c r="P11" s="103" t="n">
        <x:v>62.5</x:v>
      </x:c>
      <x:c r="Q11" s="103" t="n">
        <x:v>125</x:v>
      </x:c>
      <x:c r="R11" s="103" t="n">
        <x:v>125</x:v>
      </x:c>
      <x:c r="S11" s="103"/>
      <x:c r="T11" s="103"/>
      <x:c r="U11" s="103"/>
      <x:c r="V11" s="103" t="n">
        <x:v>250</x:v>
      </x:c>
      <x:c r="W11" s="103" t="n">
        <x:v>500</x:v>
      </x:c>
      <x:c r="X11" s="103"/>
      <x:c r="Y11" s="54" t="str">
        <x:v>面向图形、视频与主流 AI。</x:v>
      </x:c>
      <x:c r="Z11" s="54" t="str">
        <x:v>A（官方）</x:v>
      </x:c>
      <x:c r="AA11" s="54" t="str">
        <x:v>https://www.nvidia.com/content/dam/en-zz/Solutions/Data-Center/a10/pdf/datasheet-new/nvidia-a10-datasheet.pdf</x:v>
      </x:c>
    </x:row>
    <x:row r="12" ht="48" customHeight="1">
      <x:c r="A12" s="54" t="str">
        <x:v>Ampere</x:v>
      </x:c>
      <x:c r="B12" s="54" t="str">
        <x:v>A2</x:v>
      </x:c>
      <x:c r="C12" s="54" t="str">
        <x:v>A2</x:v>
      </x:c>
      <x:c r="D12" s="54" t="str">
        <x:v>PCIe 单槽矮板</x:v>
      </x:c>
      <x:c r="E12" s="54" t="str">
        <x:v>GA107</x:v>
      </x:c>
      <x:c r="F12" s="54" t="str">
        <x:v>第3代</x:v>
      </x:c>
      <x:c r="G12" s="102"/>
      <x:c r="H12" s="102"/>
      <x:c r="I12" s="102"/>
      <x:c r="J12" s="102" t="n">
        <x:v>16</x:v>
      </x:c>
      <x:c r="K12" s="102" t="str">
        <x:v>GDDR6</x:v>
      </x:c>
      <x:c r="L12" s="102" t="n">
        <x:v>200</x:v>
      </x:c>
      <x:c r="M12" s="102" t="n">
        <x:v>60</x:v>
      </x:c>
      <x:c r="N12" s="103" t="n">
        <x:v>4.5</x:v>
      </x:c>
      <x:c r="O12" s="103"/>
      <x:c r="P12" s="103" t="n">
        <x:v>9</x:v>
      </x:c>
      <x:c r="Q12" s="103" t="n">
        <x:v>18</x:v>
      </x:c>
      <x:c r="R12" s="103" t="n">
        <x:v>18</x:v>
      </x:c>
      <x:c r="S12" s="103"/>
      <x:c r="T12" s="103"/>
      <x:c r="U12" s="103"/>
      <x:c r="V12" s="103" t="n">
        <x:v>36</x:v>
      </x:c>
      <x:c r="W12" s="103" t="n">
        <x:v>72</x:v>
      </x:c>
      <x:c r="X12" s="103"/>
      <x:c r="Y12" s="54" t="str">
        <x:v>40–60W 可配置；表中功耗列填上限 60W。</x:v>
      </x:c>
      <x:c r="Z12" s="54" t="str">
        <x:v>A（官方）</x:v>
      </x:c>
      <x:c r="AA12" s="54" t="str">
        <x:v>https://www.nvidia.com/content/dam/en-zz/solutions/data-center/a2/pdf/a2-datasheet.pdf</x:v>
      </x:c>
    </x:row>
    <x:row r="13" ht="48" customHeight="1">
      <x:c r="A13" s="56" t="str">
        <x:v>Ada Lovelace</x:v>
      </x:c>
      <x:c r="B13" s="56" t="str">
        <x:v>L 系列</x:v>
      </x:c>
      <x:c r="C13" s="56" t="str">
        <x:v>L4</x:v>
      </x:c>
      <x:c r="D13" s="56" t="str">
        <x:v>PCIe 单槽矮板</x:v>
      </x:c>
      <x:c r="E13" s="56" t="str">
        <x:v>AD104</x:v>
      </x:c>
      <x:c r="F13" s="56" t="str">
        <x:v>第4代</x:v>
      </x:c>
      <x:c r="G13" s="104"/>
      <x:c r="H13" s="104"/>
      <x:c r="I13" s="104"/>
      <x:c r="J13" s="104" t="n">
        <x:v>24</x:v>
      </x:c>
      <x:c r="K13" s="104" t="str">
        <x:v>GDDR6</x:v>
      </x:c>
      <x:c r="L13" s="104" t="n">
        <x:v>300</x:v>
      </x:c>
      <x:c r="M13" s="104" t="n">
        <x:v>72</x:v>
      </x:c>
      <x:c r="N13" s="105" t="n">
        <x:v>30.3</x:v>
      </x:c>
      <x:c r="O13" s="105"/>
      <x:c r="P13" s="105" t="n">
        <x:v>60</x:v>
      </x:c>
      <x:c r="Q13" s="105" t="n">
        <x:v>121</x:v>
      </x:c>
      <x:c r="R13" s="105" t="n">
        <x:v>121</x:v>
      </x:c>
      <x:c r="S13" s="105" t="n">
        <x:v>242.5</x:v>
      </x:c>
      <x:c r="T13" s="105"/>
      <x:c r="U13" s="105"/>
      <x:c r="V13" s="105" t="n">
        <x:v>242.5</x:v>
      </x:c>
      <x:c r="W13" s="105" t="n">
        <x:v>485</x:v>
      </x:c>
      <x:c r="X13" s="105"/>
      <x:c r="Y13" s="56" t="str">
        <x:v>产品页原值全部为 sparse，dense=1/2。INT4=2×dense INT8，为 Ada 架构比例推导，L4 产品页未单列。</x:v>
      </x:c>
      <x:c r="Z13" s="56" t="str">
        <x:v>A-/B+（官方+推导）</x:v>
      </x:c>
      <x:c r="AA13" s="56" t="str">
        <x:v>https://www.nvidia.com/en-us/data-center/l4/</x:v>
      </x:c>
    </x:row>
    <x:row r="14" ht="48" customHeight="1">
      <x:c r="A14" s="56" t="str">
        <x:v>Ada Lovelace</x:v>
      </x:c>
      <x:c r="B14" s="56" t="str">
        <x:v>L 系列</x:v>
      </x:c>
      <x:c r="C14" s="56" t="str">
        <x:v>L40</x:v>
      </x:c>
      <x:c r="D14" s="56" t="str">
        <x:v>PCIe 双槽</x:v>
      </x:c>
      <x:c r="E14" s="56" t="str">
        <x:v>AD102</x:v>
      </x:c>
      <x:c r="F14" s="56" t="str">
        <x:v>第4代</x:v>
      </x:c>
      <x:c r="G14" s="104"/>
      <x:c r="H14" s="104" t="n">
        <x:v>18176</x:v>
      </x:c>
      <x:c r="I14" s="104" t="n">
        <x:v>568</x:v>
      </x:c>
      <x:c r="J14" s="104" t="n">
        <x:v>48</x:v>
      </x:c>
      <x:c r="K14" s="104" t="str">
        <x:v>GDDR6 ECC</x:v>
      </x:c>
      <x:c r="L14" s="104" t="n">
        <x:v>864</x:v>
      </x:c>
      <x:c r="M14" s="104" t="n">
        <x:v>300</x:v>
      </x:c>
      <x:c r="N14" s="105" t="n">
        <x:v>90.5</x:v>
      </x:c>
      <x:c r="O14" s="105"/>
      <x:c r="P14" s="105" t="n">
        <x:v>90.5</x:v>
      </x:c>
      <x:c r="Q14" s="105" t="n">
        <x:v>181.05</x:v>
      </x:c>
      <x:c r="R14" s="105" t="n">
        <x:v>181.05</x:v>
      </x:c>
      <x:c r="S14" s="105" t="n">
        <x:v>362</x:v>
      </x:c>
      <x:c r="T14" s="105"/>
      <x:c r="U14" s="105"/>
      <x:c r="V14" s="105" t="n">
        <x:v>362</x:v>
      </x:c>
      <x:c r="W14" s="105" t="n">
        <x:v>724</x:v>
      </x:c>
      <x:c r="X14" s="105"/>
      <x:c r="Y14" s="56" t="str">
        <x:v>通用数据中心 GPU；官方表同时给出 dense|sparse，本表取前者。</x:v>
      </x:c>
      <x:c r="Z14" s="56" t="str">
        <x:v>A（官方）</x:v>
      </x:c>
      <x:c r="AA14" s="56" t="str">
        <x:v>https://www.nvidia.com/content/dam/en-zz/Solutions/design-visualization/support-guide/NVIDIA-L40-Datasheet-January-2023.pdf</x:v>
      </x:c>
    </x:row>
    <x:row r="15" ht="48" customHeight="1">
      <x:c r="A15" s="56" t="str">
        <x:v>Ada Lovelace</x:v>
      </x:c>
      <x:c r="B15" s="56" t="str">
        <x:v>L 系列</x:v>
      </x:c>
      <x:c r="C15" s="56" t="str">
        <x:v>L40S</x:v>
      </x:c>
      <x:c r="D15" s="56" t="str">
        <x:v>PCIe 双槽</x:v>
      </x:c>
      <x:c r="E15" s="56" t="str">
        <x:v>AD102</x:v>
      </x:c>
      <x:c r="F15" s="56" t="str">
        <x:v>第4代</x:v>
      </x:c>
      <x:c r="G15" s="104"/>
      <x:c r="H15" s="104" t="n">
        <x:v>18176</x:v>
      </x:c>
      <x:c r="I15" s="104" t="n">
        <x:v>568</x:v>
      </x:c>
      <x:c r="J15" s="104" t="n">
        <x:v>48</x:v>
      </x:c>
      <x:c r="K15" s="104" t="str">
        <x:v>GDDR6 ECC</x:v>
      </x:c>
      <x:c r="L15" s="104" t="n">
        <x:v>864</x:v>
      </x:c>
      <x:c r="M15" s="104" t="n">
        <x:v>350</x:v>
      </x:c>
      <x:c r="N15" s="105" t="n">
        <x:v>91.6</x:v>
      </x:c>
      <x:c r="O15" s="105"/>
      <x:c r="P15" s="105" t="n">
        <x:v>183</x:v>
      </x:c>
      <x:c r="Q15" s="105" t="n">
        <x:v>362.05</x:v>
      </x:c>
      <x:c r="R15" s="105" t="n">
        <x:v>362.05</x:v>
      </x:c>
      <x:c r="S15" s="105" t="n">
        <x:v>733</x:v>
      </x:c>
      <x:c r="T15" s="105"/>
      <x:c r="U15" s="105"/>
      <x:c r="V15" s="105" t="n">
        <x:v>733</x:v>
      </x:c>
      <x:c r="W15" s="105" t="n">
        <x:v>733</x:v>
      </x:c>
      <x:c r="X15" s="105"/>
      <x:c r="Y15" s="56" t="str">
        <x:v>注意：NVIDIA L40S 官方 datasheet 将 dense INT4 与 dense INT8 都列为 733 TOPS；未擅自按 2× 另算。</x:v>
      </x:c>
      <x:c r="Z15" s="56" t="str">
        <x:v>A（官方）</x:v>
      </x:c>
      <x:c r="AA15" s="56" t="str">
        <x:v>https://www.nvidia.com/en-sg/data-center/l40s/</x:v>
      </x:c>
    </x:row>
    <x:row r="16" ht="48" customHeight="1">
      <x:c r="A16" s="66" t="str">
        <x:v>Hopper</x:v>
      </x:c>
      <x:c r="B16" s="66" t="str">
        <x:v>H100</x:v>
      </x:c>
      <x:c r="C16" s="66" t="str">
        <x:v>H100 PCIe 80GB</x:v>
      </x:c>
      <x:c r="D16" s="66" t="str">
        <x:v>PCIe 双槽</x:v>
      </x:c>
      <x:c r="E16" s="66" t="str">
        <x:v>GH100</x:v>
      </x:c>
      <x:c r="F16" s="66" t="str">
        <x:v>第4代</x:v>
      </x:c>
      <x:c r="G16" s="114"/>
      <x:c r="H16" s="114"/>
      <x:c r="I16" s="114"/>
      <x:c r="J16" s="114" t="n">
        <x:v>80</x:v>
      </x:c>
      <x:c r="K16" s="114" t="str">
        <x:v>HBM2e</x:v>
      </x:c>
      <x:c r="L16" s="114" t="n">
        <x:v>2000</x:v>
      </x:c>
      <x:c r="M16" s="114" t="n">
        <x:v>350</x:v>
      </x:c>
      <x:c r="N16" s="115" t="n">
        <x:v>51</x:v>
      </x:c>
      <x:c r="O16" s="115" t="n">
        <x:v>51</x:v>
      </x:c>
      <x:c r="P16" s="115" t="n">
        <x:v>378</x:v>
      </x:c>
      <x:c r="Q16" s="115" t="n">
        <x:v>756</x:v>
      </x:c>
      <x:c r="R16" s="115" t="n">
        <x:v>756</x:v>
      </x:c>
      <x:c r="S16" s="115" t="n">
        <x:v>1513</x:v>
      </x:c>
      <x:c r="T16" s="115"/>
      <x:c r="U16" s="115"/>
      <x:c r="V16" s="115" t="n">
        <x:v>1513</x:v>
      </x:c>
      <x:c r="W16" s="115"/>
      <x:c r="X16" s="115" t="n">
        <x:v>600</x:v>
      </x:c>
      <x:c r="Y16" s="66" t="str">
        <x:v>PCIe 版本；性能取 NVIDIA H100 产品规格的非稀疏值。NVLink 为可选双卡桥。</x:v>
      </x:c>
      <x:c r="Z16" s="66" t="str">
        <x:v>A（官方）</x:v>
      </x:c>
      <x:c r="AA16" s="66" t="str">
        <x:v>https://www.nvidia.com/content/dam/en-zz/Solutions/gtcs22/data-center/h100/PB-11133-001_v01.pdf</x:v>
      </x:c>
    </x:row>
    <x:row r="17" ht="48" customHeight="1">
      <x:c r="A17" s="66" t="str">
        <x:v>Hopper</x:v>
      </x:c>
      <x:c r="B17" s="66" t="str">
        <x:v>H100</x:v>
      </x:c>
      <x:c r="C17" s="66" t="str">
        <x:v>H100 SXM 80GB</x:v>
      </x:c>
      <x:c r="D17" s="66" t="str">
        <x:v>SXM5</x:v>
      </x:c>
      <x:c r="E17" s="66" t="str">
        <x:v>GH100</x:v>
      </x:c>
      <x:c r="F17" s="66" t="str">
        <x:v>第4代</x:v>
      </x:c>
      <x:c r="G17" s="114"/>
      <x:c r="H17" s="114"/>
      <x:c r="I17" s="114"/>
      <x:c r="J17" s="114" t="n">
        <x:v>80</x:v>
      </x:c>
      <x:c r="K17" s="114" t="str">
        <x:v>HBM3</x:v>
      </x:c>
      <x:c r="L17" s="114" t="n">
        <x:v>3350</x:v>
      </x:c>
      <x:c r="M17" s="114" t="n">
        <x:v>700</x:v>
      </x:c>
      <x:c r="N17" s="115" t="n">
        <x:v>67</x:v>
      </x:c>
      <x:c r="O17" s="115" t="n">
        <x:v>67</x:v>
      </x:c>
      <x:c r="P17" s="115" t="n">
        <x:v>494.5</x:v>
      </x:c>
      <x:c r="Q17" s="115" t="n">
        <x:v>989.5</x:v>
      </x:c>
      <x:c r="R17" s="115" t="n">
        <x:v>989.5</x:v>
      </x:c>
      <x:c r="S17" s="115" t="n">
        <x:v>1979</x:v>
      </x:c>
      <x:c r="T17" s="115"/>
      <x:c r="U17" s="115"/>
      <x:c r="V17" s="115" t="n">
        <x:v>1979</x:v>
      </x:c>
      <x:c r="W17" s="115"/>
      <x:c r="X17" s="115" t="n">
        <x:v>900</x:v>
      </x:c>
      <x:c r="Y17" s="66" t="str">
        <x:v>产品页展示 sparse；本表统一除以 2。</x:v>
      </x:c>
      <x:c r="Z17" s="66" t="str">
        <x:v>A（官方）</x:v>
      </x:c>
      <x:c r="AA17" s="66" t="str">
        <x:v>https://www.nvidia.com/en-sg/data-center/h100/</x:v>
      </x:c>
    </x:row>
    <x:row r="18" ht="48" customHeight="1">
      <x:c r="A18" s="66" t="str">
        <x:v>Hopper</x:v>
      </x:c>
      <x:c r="B18" s="66" t="str">
        <x:v>H100</x:v>
      </x:c>
      <x:c r="C18" s="66" t="str">
        <x:v>H100 NVL 94GB</x:v>
      </x:c>
      <x:c r="D18" s="66" t="str">
        <x:v>PCIe 双槽</x:v>
      </x:c>
      <x:c r="E18" s="66" t="str">
        <x:v>GH100</x:v>
      </x:c>
      <x:c r="F18" s="66" t="str">
        <x:v>第4代</x:v>
      </x:c>
      <x:c r="G18" s="114"/>
      <x:c r="H18" s="114"/>
      <x:c r="I18" s="114"/>
      <x:c r="J18" s="114" t="n">
        <x:v>94</x:v>
      </x:c>
      <x:c r="K18" s="114" t="str">
        <x:v>HBM3</x:v>
      </x:c>
      <x:c r="L18" s="114" t="n">
        <x:v>3900</x:v>
      </x:c>
      <x:c r="M18" s="114" t="n">
        <x:v>400</x:v>
      </x:c>
      <x:c r="N18" s="115" t="n">
        <x:v>60</x:v>
      </x:c>
      <x:c r="O18" s="115" t="n">
        <x:v>60</x:v>
      </x:c>
      <x:c r="P18" s="115" t="n">
        <x:v>417.5</x:v>
      </x:c>
      <x:c r="Q18" s="115" t="n">
        <x:v>835.5</x:v>
      </x:c>
      <x:c r="R18" s="115" t="n">
        <x:v>835.5</x:v>
      </x:c>
      <x:c r="S18" s="115" t="n">
        <x:v>1670.5</x:v>
      </x:c>
      <x:c r="T18" s="115"/>
      <x:c r="U18" s="115"/>
      <x:c r="V18" s="115" t="n">
        <x:v>1670.5</x:v>
      </x:c>
      <x:c r="W18" s="115"/>
      <x:c r="X18" s="115" t="n">
        <x:v>600</x:v>
      </x:c>
      <x:c r="Y18" s="66" t="str">
        <x:v>350–400W 可配置；通常两卡组成 188GB H100 NVL。</x:v>
      </x:c>
      <x:c r="Z18" s="66" t="str">
        <x:v>A（官方）</x:v>
      </x:c>
      <x:c r="AA18" s="66" t="str">
        <x:v>https://www.nvidia.com/en-sg/data-center/h100/</x:v>
      </x:c>
    </x:row>
    <x:row r="19" ht="48" customHeight="1">
      <x:c r="A19" s="66" t="str">
        <x:v>Hopper</x:v>
      </x:c>
      <x:c r="B19" s="66" t="str">
        <x:v>H200</x:v>
      </x:c>
      <x:c r="C19" s="66" t="str">
        <x:v>H200 SXM 141GB</x:v>
      </x:c>
      <x:c r="D19" s="66" t="str">
        <x:v>SXM5</x:v>
      </x:c>
      <x:c r="E19" s="66" t="str">
        <x:v>GH100</x:v>
      </x:c>
      <x:c r="F19" s="66" t="str">
        <x:v>第4代</x:v>
      </x:c>
      <x:c r="G19" s="114"/>
      <x:c r="H19" s="114"/>
      <x:c r="I19" s="114"/>
      <x:c r="J19" s="114" t="n">
        <x:v>141</x:v>
      </x:c>
      <x:c r="K19" s="114" t="str">
        <x:v>HBM3e</x:v>
      </x:c>
      <x:c r="L19" s="114" t="n">
        <x:v>4800</x:v>
      </x:c>
      <x:c r="M19" s="114" t="n">
        <x:v>700</x:v>
      </x:c>
      <x:c r="N19" s="115" t="n">
        <x:v>67</x:v>
      </x:c>
      <x:c r="O19" s="115" t="n">
        <x:v>67</x:v>
      </x:c>
      <x:c r="P19" s="115" t="n">
        <x:v>494.5</x:v>
      </x:c>
      <x:c r="Q19" s="115" t="n">
        <x:v>989.5</x:v>
      </x:c>
      <x:c r="R19" s="115" t="n">
        <x:v>989.5</x:v>
      </x:c>
      <x:c r="S19" s="115" t="n">
        <x:v>1979</x:v>
      </x:c>
      <x:c r="T19" s="115"/>
      <x:c r="U19" s="115"/>
      <x:c r="V19" s="115" t="n">
        <x:v>1979</x:v>
      </x:c>
      <x:c r="W19" s="115"/>
      <x:c r="X19" s="115" t="n">
        <x:v>900</x:v>
      </x:c>
      <x:c r="Y19" s="66" t="str">
        <x:v>计算吞吐与 H100 SXM 相同，主要提升为 141GB HBM3e 和 4.8TB/s。</x:v>
      </x:c>
      <x:c r="Z19" s="66" t="str">
        <x:v>A（官方）</x:v>
      </x:c>
      <x:c r="AA19" s="66" t="str">
        <x:v>https://www.nvidia.com/en-us/data-center/h200/</x:v>
      </x:c>
    </x:row>
    <x:row r="20" ht="48" customHeight="1">
      <x:c r="A20" s="66" t="str">
        <x:v>Hopper</x:v>
      </x:c>
      <x:c r="B20" s="66" t="str">
        <x:v>H200</x:v>
      </x:c>
      <x:c r="C20" s="66" t="str">
        <x:v>H200 NVL 141GB</x:v>
      </x:c>
      <x:c r="D20" s="66" t="str">
        <x:v>PCIe 双槽</x:v>
      </x:c>
      <x:c r="E20" s="66" t="str">
        <x:v>GH100</x:v>
      </x:c>
      <x:c r="F20" s="66" t="str">
        <x:v>第4代</x:v>
      </x:c>
      <x:c r="G20" s="114"/>
      <x:c r="H20" s="114"/>
      <x:c r="I20" s="114"/>
      <x:c r="J20" s="114" t="n">
        <x:v>141</x:v>
      </x:c>
      <x:c r="K20" s="114" t="str">
        <x:v>HBM3e</x:v>
      </x:c>
      <x:c r="L20" s="114" t="n">
        <x:v>4800</x:v>
      </x:c>
      <x:c r="M20" s="114" t="n">
        <x:v>600</x:v>
      </x:c>
      <x:c r="N20" s="115" t="n">
        <x:v>60</x:v>
      </x:c>
      <x:c r="O20" s="115" t="n">
        <x:v>60</x:v>
      </x:c>
      <x:c r="P20" s="115" t="n">
        <x:v>417.5</x:v>
      </x:c>
      <x:c r="Q20" s="115" t="n">
        <x:v>835.5</x:v>
      </x:c>
      <x:c r="R20" s="115" t="n">
        <x:v>835.5</x:v>
      </x:c>
      <x:c r="S20" s="115" t="n">
        <x:v>1670.5</x:v>
      </x:c>
      <x:c r="T20" s="115"/>
      <x:c r="U20" s="115"/>
      <x:c r="V20" s="115" t="n">
        <x:v>1670.5</x:v>
      </x:c>
      <x:c r="W20" s="115"/>
      <x:c r="X20" s="115" t="n">
        <x:v>900</x:v>
      </x:c>
      <x:c r="Y20" s="66" t="str">
        <x:v>PCIe NVL；最高 600W 可配置。</x:v>
      </x:c>
      <x:c r="Z20" s="66" t="str">
        <x:v>A（官方）</x:v>
      </x:c>
      <x:c r="AA20" s="66" t="str">
        <x:v>https://www.nvidia.com/en-us/data-center/h200/</x:v>
      </x:c>
    </x:row>
    <x:row r="21" ht="48" customHeight="1">
      <x:c r="A21" s="58" t="str">
        <x:v>Blackwell RTX</x:v>
      </x:c>
      <x:c r="B21" s="58" t="str">
        <x:v>RTX PRO</x:v>
      </x:c>
      <x:c r="C21" s="58" t="str">
        <x:v>RTX PRO 6000 Blackwell Server Edition</x:v>
      </x:c>
      <x:c r="D21" s="58" t="str">
        <x:v>PCIe；风冷双槽/液冷单槽</x:v>
      </x:c>
      <x:c r="E21" s="58" t="str">
        <x:v>GB202</x:v>
      </x:c>
      <x:c r="F21" s="58" t="str">
        <x:v>第5代</x:v>
      </x:c>
      <x:c r="G21" s="106" t="n">
        <x:v>188</x:v>
      </x:c>
      <x:c r="H21" s="106" t="n">
        <x:v>24064</x:v>
      </x:c>
      <x:c r="I21" s="106" t="n">
        <x:v>752</x:v>
      </x:c>
      <x:c r="J21" s="106" t="n">
        <x:v>96</x:v>
      </x:c>
      <x:c r="K21" s="106" t="str">
        <x:v>GDDR7 ECC</x:v>
      </x:c>
      <x:c r="L21" s="106" t="n">
        <x:v>1597</x:v>
      </x:c>
      <x:c r="M21" s="106" t="n">
        <x:v>600</x:v>
      </x:c>
      <x:c r="N21" s="107" t="n">
        <x:v>120</x:v>
      </x:c>
      <x:c r="O21" s="107"/>
      <x:c r="P21" s="107" t="n">
        <x:v>117</x:v>
      </x:c>
      <x:c r="Q21" s="107" t="n">
        <x:v>500</x:v>
      </x:c>
      <x:c r="R21" s="107" t="n">
        <x:v>500</x:v>
      </x:c>
      <x:c r="S21" s="107" t="n">
        <x:v>1000</x:v>
      </x:c>
      <x:c r="T21" s="107" t="n">
        <x:v>1000</x:v>
      </x:c>
      <x:c r="U21" s="107" t="n">
        <x:v>2000</x:v>
      </x:c>
      <x:c r="V21" s="107" t="n">
        <x:v>1000</x:v>
      </x:c>
      <x:c r="W21" s="107"/>
      <x:c r="X21" s="107"/>
      <x:c r="Y21" s="58" t="str">
        <x:v>产品页 4/2/1 PFLOPS 与 234 TFLOPS 为稀疏口径，表中减半。FP6 与 INT8 按 RTX Blackwell 支持矩阵及同级吞吐推导；产品页未单列。</x:v>
      </x:c>
      <x:c r="Z21" s="58" t="str">
        <x:v>A-/B+（官方+推导）</x:v>
      </x:c>
      <x:c r="AA21" s="58" t="str">
        <x:v>https://www.nvidia.com/en-us/data-center/rtx-pro-6000-blackwell-server-edition/</x:v>
      </x:c>
    </x:row>
    <x:row r="22" ht="48" customHeight="1">
      <x:c r="A22" s="68" t="str">
        <x:v>Blackwell DC</x:v>
      </x:c>
      <x:c r="B22" s="68" t="str">
        <x:v>B 系列</x:v>
      </x:c>
      <x:c r="C22" s="68" t="str">
        <x:v>B100 SXM 192GB</x:v>
      </x:c>
      <x:c r="D22" s="68" t="str">
        <x:v>SXM（发布期规划）</x:v>
      </x:c>
      <x:c r="E22" s="68" t="str">
        <x:v>GB100</x:v>
      </x:c>
      <x:c r="F22" s="68" t="str">
        <x:v>第5代</x:v>
      </x:c>
      <x:c r="G22" s="116"/>
      <x:c r="H22" s="116"/>
      <x:c r="I22" s="116"/>
      <x:c r="J22" s="116" t="n">
        <x:v>192</x:v>
      </x:c>
      <x:c r="K22" s="116" t="str">
        <x:v>HBM3e</x:v>
      </x:c>
      <x:c r="L22" s="116" t="n">
        <x:v>8000</x:v>
      </x:c>
      <x:c r="M22" s="116" t="n">
        <x:v>700</x:v>
      </x:c>
      <x:c r="N22" s="117" t="n">
        <x:v>60</x:v>
      </x:c>
      <x:c r="O22" s="117" t="n">
        <x:v>30</x:v>
      </x:c>
      <x:c r="P22" s="117" t="n">
        <x:v>875</x:v>
      </x:c>
      <x:c r="Q22" s="117" t="n">
        <x:v>1750</x:v>
      </x:c>
      <x:c r="R22" s="117" t="n">
        <x:v>1750</x:v>
      </x:c>
      <x:c r="S22" s="117" t="n">
        <x:v>3500</x:v>
      </x:c>
      <x:c r="T22" s="117" t="n">
        <x:v>3500</x:v>
      </x:c>
      <x:c r="U22" s="117" t="n">
        <x:v>7000</x:v>
      </x:c>
      <x:c r="V22" s="117" t="n">
        <x:v>3500</x:v>
      </x:c>
      <x:c r="W22" s="117"/>
      <x:c r="X22" s="117" t="n">
        <x:v>1800</x:v>
      </x:c>
      <x:c r="Y22" s="68" t="str">
        <x:v>2024 发布期/规划型 SKU；NVIDIA 当前 HGX 产品页已聚焦 B200/B300。保留作代际完整性，证据等级较低。</x:v>
      </x:c>
      <x:c r="Z22" s="68" t="str">
        <x:v>B（发布期/二级来源）</x:v>
      </x:c>
      <x:c r="AA22" s="68" t="str">
        <x:v>https://www.cudocompute.com/blog/nvidias-blackwell-architecture-breaking-down-the-b100-b200-and-gb200</x:v>
      </x:c>
    </x:row>
    <x:row r="23" ht="48" customHeight="1">
      <x:c r="A23" s="68" t="str">
        <x:v>Blackwell DC</x:v>
      </x:c>
      <x:c r="B23" s="68" t="str">
        <x:v>B 系列</x:v>
      </x:c>
      <x:c r="C23" s="68" t="str">
        <x:v>B200 SXM 180GB</x:v>
      </x:c>
      <x:c r="D23" s="68" t="str">
        <x:v>SXM</x:v>
      </x:c>
      <x:c r="E23" s="68" t="str">
        <x:v>Blackwell</x:v>
      </x:c>
      <x:c r="F23" s="68" t="str">
        <x:v>第5代</x:v>
      </x:c>
      <x:c r="G23" s="116"/>
      <x:c r="H23" s="116"/>
      <x:c r="I23" s="116"/>
      <x:c r="J23" s="116" t="n">
        <x:v>180</x:v>
      </x:c>
      <x:c r="K23" s="116" t="str">
        <x:v>HBM3e</x:v>
      </x:c>
      <x:c r="L23" s="116" t="n">
        <x:v>8000</x:v>
      </x:c>
      <x:c r="M23" s="116" t="n">
        <x:v>1200</x:v>
      </x:c>
      <x:c r="N23" s="117" t="n">
        <x:v>75</x:v>
      </x:c>
      <x:c r="O23" s="117" t="n">
        <x:v>37</x:v>
      </x:c>
      <x:c r="P23" s="117" t="n">
        <x:v>1125</x:v>
      </x:c>
      <x:c r="Q23" s="117" t="n">
        <x:v>2250</x:v>
      </x:c>
      <x:c r="R23" s="117" t="n">
        <x:v>2250</x:v>
      </x:c>
      <x:c r="S23" s="117" t="n">
        <x:v>4500</x:v>
      </x:c>
      <x:c r="T23" s="117" t="n">
        <x:v>4500</x:v>
      </x:c>
      <x:c r="U23" s="117" t="n">
        <x:v>9000</x:v>
      </x:c>
      <x:c r="V23" s="117" t="n">
        <x:v>4500</x:v>
      </x:c>
      <x:c r="W23" s="117"/>
      <x:c r="X23" s="117" t="n">
        <x:v>1800</x:v>
      </x:c>
      <x:c r="Y23" s="68" t="str">
        <x:v>由 NVIDIA HGX B200 8-GPU 官方总量折算到单 GPU；详细公式见“Blackwell推导”。</x:v>
      </x:c>
      <x:c r="Z23" s="68" t="str">
        <x:v>A-（官方系统值推导）</x:v>
      </x:c>
      <x:c r="AA23" s="68" t="str">
        <x:v>https://www.nvidia.com/en-us/data-center/hgx/</x:v>
      </x:c>
    </x:row>
    <x:row r="24" ht="48" customHeight="1">
      <x:c r="A24" s="70" t="str">
        <x:v>Blackwell Ultra</x:v>
      </x:c>
      <x:c r="B24" s="70" t="str">
        <x:v>B 系列</x:v>
      </x:c>
      <x:c r="C24" s="70" t="str">
        <x:v>B300 SXM（HGX/DGX SKU）</x:v>
      </x:c>
      <x:c r="D24" s="70" t="str">
        <x:v>SXM</x:v>
      </x:c>
      <x:c r="E24" s="70" t="str">
        <x:v>Blackwell Ultra</x:v>
      </x:c>
      <x:c r="F24" s="70" t="str">
        <x:v>第5代</x:v>
      </x:c>
      <x:c r="G24" s="118"/>
      <x:c r="H24" s="118"/>
      <x:c r="I24" s="118"/>
      <x:c r="J24" s="118" t="n">
        <x:v>270</x:v>
      </x:c>
      <x:c r="K24" s="118" t="str">
        <x:v>HBM3e</x:v>
      </x:c>
      <x:c r="L24" s="118" t="n">
        <x:v>8000</x:v>
      </x:c>
      <x:c r="M24" s="118" t="n">
        <x:v>1400</x:v>
      </x:c>
      <x:c r="N24" s="119" t="n">
        <x:v>75</x:v>
      </x:c>
      <x:c r="O24" s="119" t="n">
        <x:v>1.25</x:v>
      </x:c>
      <x:c r="P24" s="119" t="n">
        <x:v>1125</x:v>
      </x:c>
      <x:c r="Q24" s="119" t="n">
        <x:v>2250</x:v>
      </x:c>
      <x:c r="R24" s="119" t="n">
        <x:v>2250</x:v>
      </x:c>
      <x:c r="S24" s="119" t="n">
        <x:v>4500</x:v>
      </x:c>
      <x:c r="T24" s="119" t="n">
        <x:v>4500</x:v>
      </x:c>
      <x:c r="U24" s="119" t="n">
        <x:v>13500</x:v>
      </x:c>
      <x:c r="V24" s="119" t="n">
        <x:v>187.5</x:v>
      </x:c>
      <x:c r="W24" s="119"/>
      <x:c r="X24" s="119" t="n">
        <x:v>1800</x:v>
      </x:c>
      <x:c r="Y24" s="70" t="str">
        <x:v>由 HGX B300 8-GPU 官方总量折算。FP4 为 13.5 PFLOPS/GPU；Blackwell Ultra 满配芯片上限为 15 PFLOPS dense NVFP4、最高 288GB，SKU 会裁剪。官方当前页的 INT8 总量为 3 POPS sparse，因此 dense 单卡仅 187.5 TOPS，已原样按脚注折算并特别标注。</x:v>
      </x:c>
      <x:c r="Z24" s="70" t="str">
        <x:v>A-（官方系统值推导）</x:v>
      </x:c>
      <x:c r="AA24" s="70" t="str">
        <x:v>https://www.nvidia.com/en-us/data-center/hgx/</x:v>
      </x:c>
    </x:row>
    <x:row r="27" ht="30" customHeight="1">
      <x:c r="A27" s="136" t="str">
        <x:v>注：峰值算力是理论上限；空白不等同于 0。请结合“格式支持矩阵”和备注列判断是不支持、未发布，还是未按该模式单列。</x:v>
      </x:c>
      <x:c r="B27" s="136"/>
      <x:c r="C27" s="136"/>
      <x:c r="D27" s="136"/>
      <x:c r="E27" s="136"/>
      <x:c r="F27" s="136"/>
      <x:c r="G27" s="136"/>
      <x:c r="H27" s="136"/>
      <x:c r="I27" s="136"/>
      <x:c r="J27" s="136"/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  <x:c r="AA27" s="136"/>
    </x:row>
  </x:sheetData>
  <x:mergeCells>
    <x:mergeCell ref="A1:AA1"/>
    <x:mergeCell ref="A2:AA2"/>
    <x:mergeCell ref="A27:AA27"/>
  </x:mergeCells>
  <x:conditionalFormatting sqref="N5:X24">
    <x:cfRule type="colorScale" priority="1">
      <x:colorScale>
        <x:cfvo type="min"/>
        <x:cfvo type="percentile" val="50"/>
        <x:cfvo type="max"/>
        <x:color rgb="FFFFFFFF"/>
        <x:color rgb="FFD9F99D"/>
        <x:color rgb="FF76B900"/>
      </x:colorScale>
    </x:cfRule>
  </x:conditionalFormatting>
  <x:conditionalFormatting sqref="Z5:Z24">
    <x:cfRule type="expression" dxfId="2" priority="2">
      <x:formula>LEFT(Z5,1)="A"</x:formula>
    </x:cfRule>
    <x:cfRule type="expression" dxfId="3" priority="3">
      <x:formula>LEFT(Z5,1)="B"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f84ad14329c44f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16" hidden="0" customWidth="1"/>
    <x:col min="11" max="11" width="62" hidden="0" customWidth="1"/>
  </x:cols>
  <x:sheetData>
    <x:row r="1" ht="32" customHeight="1">
      <x:c r="A1" s="5" t="str">
        <x:v>NVIDIA GPU Dense Tensor Core 参数汇总｜格式支持矩阵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5" customHeight="1">
      <x:c r="A2" s="13" t="str">
        <x:v>整理日期：2026-07-25｜浮点单位 TFLOPS（系统表为 PFLOPS），整数单位 TOPS/POPS｜仅 dense，不使用 2:4 sparsity 加速数字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42" customHeight="1">
      <x:c r="A4" s="22" t="str">
        <x:v>架构/芯片族</x:v>
      </x:c>
      <x:c r="B4" s="22" t="str">
        <x:v>FP64 Tensor</x:v>
      </x:c>
      <x:c r="C4" s="22" t="str">
        <x:v>TF32</x:v>
      </x:c>
      <x:c r="D4" s="22" t="str">
        <x:v>BF16</x:v>
      </x:c>
      <x:c r="E4" s="22" t="str">
        <x:v>FP16</x:v>
      </x:c>
      <x:c r="F4" s="22" t="str">
        <x:v>FP8</x:v>
      </x:c>
      <x:c r="G4" s="22" t="str">
        <x:v>FP6</x:v>
      </x:c>
      <x:c r="H4" s="22" t="str">
        <x:v>FP4/NVFP4</x:v>
      </x:c>
      <x:c r="I4" s="22" t="str">
        <x:v>INT8</x:v>
      </x:c>
      <x:c r="J4" s="22" t="str">
        <x:v>INT4</x:v>
      </x:c>
      <x:c r="K4" s="22" t="str">
        <x:v>关键说明</x:v>
      </x:c>
    </x:row>
    <x:row r="5">
      <x:c r="A5" s="78" t="str">
        <x:v>Ampere GA100</x:v>
      </x:c>
      <x:c r="B5" s="78" t="str">
        <x:v>支持</x:v>
      </x:c>
      <x:c r="C5" s="78" t="str">
        <x:v>支持</x:v>
      </x:c>
      <x:c r="D5" s="78" t="str">
        <x:v>支持</x:v>
      </x:c>
      <x:c r="E5" s="78" t="str">
        <x:v>支持</x:v>
      </x:c>
      <x:c r="F5" s="78" t="str">
        <x:v>不支持</x:v>
      </x:c>
      <x:c r="G5" s="78" t="str">
        <x:v>不支持</x:v>
      </x:c>
      <x:c r="H5" s="78" t="str">
        <x:v>不支持</x:v>
      </x:c>
      <x:c r="I5" s="78" t="str">
        <x:v>支持</x:v>
      </x:c>
      <x:c r="J5" s="78" t="str">
        <x:v>支持</x:v>
      </x:c>
      <x:c r="K5" s="78" t="str">
        <x:v>A100/A30 面向 HPC，包含高吞吐 FP64 Tensor Core。</x:v>
      </x:c>
    </x:row>
    <x:row r="6">
      <x:c r="A6" s="78" t="str">
        <x:v>Ampere GA10x</x:v>
      </x:c>
      <x:c r="B6" s="78" t="str">
        <x:v>无高吞吐规格</x:v>
      </x:c>
      <x:c r="C6" s="78" t="str">
        <x:v>支持</x:v>
      </x:c>
      <x:c r="D6" s="78" t="str">
        <x:v>支持</x:v>
      </x:c>
      <x:c r="E6" s="78" t="str">
        <x:v>支持</x:v>
      </x:c>
      <x:c r="F6" s="78" t="str">
        <x:v>不支持</x:v>
      </x:c>
      <x:c r="G6" s="78" t="str">
        <x:v>不支持</x:v>
      </x:c>
      <x:c r="H6" s="78" t="str">
        <x:v>不支持</x:v>
      </x:c>
      <x:c r="I6" s="78" t="str">
        <x:v>支持</x:v>
      </x:c>
      <x:c r="J6" s="78" t="str">
        <x:v>支持</x:v>
      </x:c>
      <x:c r="K6" s="78" t="str">
        <x:v>RTX 3090 Ti、A40、A10、A2。</x:v>
      </x:c>
    </x:row>
    <x:row r="7">
      <x:c r="A7" s="78" t="str">
        <x:v>Ada AD10x</x:v>
      </x:c>
      <x:c r="B7" s="78" t="str">
        <x:v>无高吞吐规格</x:v>
      </x:c>
      <x:c r="C7" s="78" t="str">
        <x:v>支持</x:v>
      </x:c>
      <x:c r="D7" s="78" t="str">
        <x:v>支持</x:v>
      </x:c>
      <x:c r="E7" s="78" t="str">
        <x:v>支持</x:v>
      </x:c>
      <x:c r="F7" s="78" t="str">
        <x:v>支持</x:v>
      </x:c>
      <x:c r="G7" s="78" t="str">
        <x:v>不支持</x:v>
      </x:c>
      <x:c r="H7" s="78" t="str">
        <x:v>不支持</x:v>
      </x:c>
      <x:c r="I7" s="78" t="str">
        <x:v>支持</x:v>
      </x:c>
      <x:c r="J7" s="78" t="str">
        <x:v>支持</x:v>
      </x:c>
      <x:c r="K7" s="78" t="str">
        <x:v>新增 FP8；消费卡可见 FP8/FP16 不同累加精度的两档吞吐。</x:v>
      </x:c>
    </x:row>
    <x:row r="8">
      <x:c r="A8" s="78" t="str">
        <x:v>Hopper GH100</x:v>
      </x:c>
      <x:c r="B8" s="78" t="str">
        <x:v>支持</x:v>
      </x:c>
      <x:c r="C8" s="78" t="str">
        <x:v>支持</x:v>
      </x:c>
      <x:c r="D8" s="78" t="str">
        <x:v>支持</x:v>
      </x:c>
      <x:c r="E8" s="78" t="str">
        <x:v>支持</x:v>
      </x:c>
      <x:c r="F8" s="78" t="str">
        <x:v>支持</x:v>
      </x:c>
      <x:c r="G8" s="78" t="str">
        <x:v>不支持</x:v>
      </x:c>
      <x:c r="H8" s="78" t="str">
        <x:v>不支持</x:v>
      </x:c>
      <x:c r="I8" s="78" t="str">
        <x:v>支持</x:v>
      </x:c>
      <x:c r="J8" s="78" t="str">
        <x:v>未列/无原生峰值</x:v>
      </x:c>
      <x:c r="K8" s="78" t="str">
        <x:v>H100/H200；Transformer Engine 支持 FP8 E4M3/E5M2。</x:v>
      </x:c>
    </x:row>
    <x:row r="9">
      <x:c r="A9" s="78" t="str">
        <x:v>RTX Blackwell GB202</x:v>
      </x:c>
      <x:c r="B9" s="78" t="str">
        <x:v>仅最低限度/不作性能用途</x:v>
      </x:c>
      <x:c r="C9" s="78" t="str">
        <x:v>支持</x:v>
      </x:c>
      <x:c r="D9" s="78" t="str">
        <x:v>支持</x:v>
      </x:c>
      <x:c r="E9" s="78" t="str">
        <x:v>支持</x:v>
      </x:c>
      <x:c r="F9" s="78" t="str">
        <x:v>支持</x:v>
      </x:c>
      <x:c r="G9" s="78" t="str">
        <x:v>支持</x:v>
      </x:c>
      <x:c r="H9" s="78" t="str">
        <x:v>支持</x:v>
      </x:c>
      <x:c r="I9" s="78" t="str">
        <x:v>支持</x:v>
      </x:c>
      <x:c r="J9" s="78" t="str">
        <x:v>未列</x:v>
      </x:c>
      <x:c r="K9" s="78" t="str">
        <x:v>RTX Blackwell 官方明确列出 FP16/BF16/TF32/INT8/FP8/FP6/FP4。</x:v>
      </x:c>
    </x:row>
    <x:row r="10">
      <x:c r="A10" s="78" t="str">
        <x:v>Datacenter Blackwell</x:v>
      </x:c>
      <x:c r="B10" s="78" t="str">
        <x:v>B200 支持；B300 大幅裁减</x:v>
      </x:c>
      <x:c r="C10" s="78" t="str">
        <x:v>支持</x:v>
      </x:c>
      <x:c r="D10" s="78" t="str">
        <x:v>支持</x:v>
      </x:c>
      <x:c r="E10" s="78" t="str">
        <x:v>支持</x:v>
      </x:c>
      <x:c r="F10" s="78" t="str">
        <x:v>支持</x:v>
      </x:c>
      <x:c r="G10" s="78" t="str">
        <x:v>支持</x:v>
      </x:c>
      <x:c r="H10" s="78" t="str">
        <x:v>支持 NVFP4</x:v>
      </x:c>
      <x:c r="I10" s="78" t="str">
        <x:v>支持</x:v>
      </x:c>
      <x:c r="J10" s="78" t="str">
        <x:v>未列</x:v>
      </x:c>
      <x:c r="K10" s="78" t="str">
        <x:v>B200/B300。B300 的原生 FP64 与 INT8 官方系统规格明显低于 B200。</x:v>
      </x:c>
    </x:row>
    <x:row r="13" ht="30" customHeight="1">
      <x:c r="A13" s="136" t="str">
        <x:v>注：峰值算力是理论上限；空白不等同于 0。请结合“格式支持矩阵”和备注列判断是不支持、未发布，还是未按该模式单列。</x:v>
      </x:c>
      <x:c r="B13" s="136"/>
      <x:c r="C13" s="136"/>
      <x:c r="D13" s="136"/>
      <x:c r="E13" s="136"/>
      <x:c r="F13" s="136"/>
      <x:c r="G13" s="136"/>
      <x:c r="H13" s="136"/>
      <x:c r="I13" s="136"/>
      <x:c r="J13" s="136"/>
      <x:c r="K13" s="136"/>
    </x:row>
  </x:sheetData>
  <x:mergeCells>
    <x:mergeCell ref="A1:K1"/>
    <x:mergeCell ref="A2:K2"/>
    <x:mergeCell ref="A13:K13"/>
  </x:mergeCells>
  <x:conditionalFormatting sqref="B5:J10">
    <x:cfRule type="expression" dxfId="0" priority="1">
      <x:formula>B5="支持"</x:formula>
    </x:cfRule>
    <x:cfRule type="expression" dxfId="1" priority="2">
      <x:formula>OR(B5="不支持",B5="未列",B5="未列/无原生峰值")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220b6a7aec04f6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20" hidden="0" customWidth="1"/>
    <x:col min="8" max="8" width="22" hidden="0" customWidth="1"/>
    <x:col min="9" max="9" width="12" hidden="0" customWidth="1"/>
    <x:col min="10" max="10" width="23" hidden="0" customWidth="1"/>
    <x:col min="11" max="11" width="20" hidden="0" customWidth="1"/>
    <x:col min="12" max="12" width="21" hidden="0" customWidth="1"/>
    <x:col min="13" max="13" width="23" hidden="0" customWidth="1"/>
    <x:col min="14" max="14" width="23" hidden="0" customWidth="1"/>
    <x:col min="15" max="15" width="20" hidden="0" customWidth="1"/>
    <x:col min="16" max="16" width="20" hidden="0" customWidth="1"/>
    <x:col min="17" max="17" width="14" hidden="0" customWidth="1"/>
    <x:col min="18" max="18" width="15" hidden="0" customWidth="1"/>
    <x:col min="19" max="19" width="18" hidden="0" customWidth="1"/>
    <x:col min="20" max="20" width="19" hidden="0" customWidth="1"/>
    <x:col min="21" max="21" width="52" hidden="0" customWidth="1"/>
    <x:col min="22" max="22" width="50" hidden="0" customWidth="1"/>
  </x:cols>
  <x:sheetData>
    <x:row r="1" ht="32" customHeight="1">
      <x:c r="A1" s="5" t="str">
        <x:v>Blackwell B200 / B300 单卡 Dense 算力推导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25" customHeight="1">
      <x:c r="A2" s="13" t="str">
        <x:v>所有公式都从 NVIDIA HGX 8-GPU 官方系统规格出发；用于解释企业计算卡主表的 B200/B300 单卡值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</x:row>
    <x:row r="4" ht="48" customHeight="1">
      <x:c r="A4" s="22" t="str">
        <x:v>型号</x:v>
      </x:c>
      <x:c r="B4" s="22" t="str">
        <x:v>GPU 数</x:v>
      </x:c>
      <x:c r="C4" s="22" t="str">
        <x:v>显存总量 GB</x:v>
      </x:c>
      <x:c r="D4" s="22" t="str">
        <x:v>单卡显存 GB</x:v>
      </x:c>
      <x:c r="E4" s="22" t="str">
        <x:v>FP4 sparse 总 TF</x:v>
      </x:c>
      <x:c r="F4" s="22" t="str">
        <x:v>FP4 dense 总 TF</x:v>
      </x:c>
      <x:c r="G4" s="22" t="str">
        <x:v>单卡 FP4 dense TF</x:v>
      </x:c>
      <x:c r="H4" s="22" t="str">
        <x:v>FP8/FP6 sparse 总 TF</x:v>
      </x:c>
      <x:c r="I4" s="22" t="str">
        <x:v>稀疏系数</x:v>
      </x:c>
      <x:c r="J4" s="22" t="str">
        <x:v>单卡 FP8/FP6 dense TF</x:v>
      </x:c>
      <x:c r="K4" s="22" t="str">
        <x:v>INT8 sparse 总 TOPS</x:v>
      </x:c>
      <x:c r="L4" s="22" t="str">
        <x:v>单卡 INT8 dense TOPS</x:v>
      </x:c>
      <x:c r="M4" s="22" t="str">
        <x:v>FP16/BF16 sparse 总 TF</x:v>
      </x:c>
      <x:c r="N4" s="22" t="str">
        <x:v>单卡 FP16/BF16 dense TF</x:v>
      </x:c>
      <x:c r="O4" s="22" t="str">
        <x:v>TF32 sparse 总 TF</x:v>
      </x:c>
      <x:c r="P4" s="22" t="str">
        <x:v>单卡 TF32 dense TF</x:v>
      </x:c>
      <x:c r="Q4" s="22" t="str">
        <x:v>FP32 总 TF</x:v>
      </x:c>
      <x:c r="R4" s="22" t="str">
        <x:v>单卡 FP32 TF</x:v>
      </x:c>
      <x:c r="S4" s="22" t="str">
        <x:v>FP64/TC 总 TF</x:v>
      </x:c>
      <x:c r="T4" s="22" t="str">
        <x:v>单卡 FP64/TC TF</x:v>
      </x:c>
      <x:c r="U4" s="22" t="str">
        <x:v>特别说明</x:v>
      </x:c>
      <x:c r="V4" s="22" t="str">
        <x:v>来源 URL</x:v>
      </x:c>
    </x:row>
    <x:row r="5" ht="54" customHeight="1">
      <x:c r="A5" s="68" t="str">
        <x:v>B200</x:v>
      </x:c>
      <x:c r="B5" s="116" t="n">
        <x:v>8</x:v>
      </x:c>
      <x:c r="C5" s="116" t="n">
        <x:v>1440</x:v>
      </x:c>
      <x:c r="D5" s="130" t="n">
        <x:f>C5/B5</x:f>
        <x:v>180</x:v>
      </x:c>
      <x:c r="E5" s="130" t="n">
        <x:v>144000</x:v>
      </x:c>
      <x:c r="F5" s="130" t="n">
        <x:v>72000</x:v>
      </x:c>
      <x:c r="G5" s="130" t="n">
        <x:f>F5/B5</x:f>
        <x:v>9000</x:v>
      </x:c>
      <x:c r="H5" s="130" t="n">
        <x:v>72000</x:v>
      </x:c>
      <x:c r="I5" s="130" t="n">
        <x:v>2</x:v>
      </x:c>
      <x:c r="J5" s="130" t="n">
        <x:f>H5/I5/B5</x:f>
        <x:v>4500</x:v>
      </x:c>
      <x:c r="K5" s="130" t="n">
        <x:v>72000</x:v>
      </x:c>
      <x:c r="L5" s="130" t="n">
        <x:f>K5/2/B5</x:f>
        <x:v>4500</x:v>
      </x:c>
      <x:c r="M5" s="130" t="n">
        <x:v>36000</x:v>
      </x:c>
      <x:c r="N5" s="130" t="n">
        <x:f>M5/2/B5</x:f>
        <x:v>2250</x:v>
      </x:c>
      <x:c r="O5" s="130" t="n">
        <x:v>18000</x:v>
      </x:c>
      <x:c r="P5" s="130" t="n">
        <x:f>O5/2/B5</x:f>
        <x:v>1125</x:v>
      </x:c>
      <x:c r="Q5" s="130" t="n">
        <x:v>600</x:v>
      </x:c>
      <x:c r="R5" s="130" t="n">
        <x:f>Q5/B5</x:f>
        <x:v>75</x:v>
      </x:c>
      <x:c r="S5" s="130" t="n">
        <x:v>296</x:v>
      </x:c>
      <x:c r="T5" s="130" t="n">
        <x:f>S5/B5</x:f>
        <x:v>37</x:v>
      </x:c>
      <x:c r="U5" s="68" t="str">
        <x:v>FP4 官方直接给 sparse|dense；其他 Tensor 项按脚注 dense=½ sparse。</x:v>
      </x:c>
      <x:c r="V5" s="68" t="str">
        <x:v>https://www.nvidia.com/en-us/data-center/hgx/</x:v>
      </x:c>
    </x:row>
    <x:row r="6" ht="54" customHeight="1">
      <x:c r="A6" s="70" t="str">
        <x:v>B300</x:v>
      </x:c>
      <x:c r="B6" s="118" t="n">
        <x:v>8</x:v>
      </x:c>
      <x:c r="C6" s="118" t="n">
        <x:v>2160</x:v>
      </x:c>
      <x:c r="D6" s="131" t="n">
        <x:f>C6/B6</x:f>
        <x:v>270</x:v>
      </x:c>
      <x:c r="E6" s="131" t="n">
        <x:v>144000</x:v>
      </x:c>
      <x:c r="F6" s="131" t="n">
        <x:v>108000</x:v>
      </x:c>
      <x:c r="G6" s="131" t="n">
        <x:f>F6/B6</x:f>
        <x:v>13500</x:v>
      </x:c>
      <x:c r="H6" s="131" t="n">
        <x:v>72000</x:v>
      </x:c>
      <x:c r="I6" s="131" t="n">
        <x:v>2</x:v>
      </x:c>
      <x:c r="J6" s="131" t="n">
        <x:f>H6/I6/B6</x:f>
        <x:v>4500</x:v>
      </x:c>
      <x:c r="K6" s="131" t="n">
        <x:v>3000</x:v>
      </x:c>
      <x:c r="L6" s="131" t="n">
        <x:f>K6/2/B6</x:f>
        <x:v>187.5</x:v>
      </x:c>
      <x:c r="M6" s="131" t="n">
        <x:v>36000</x:v>
      </x:c>
      <x:c r="N6" s="131" t="n">
        <x:f>M6/2/B6</x:f>
        <x:v>2250</x:v>
      </x:c>
      <x:c r="O6" s="131" t="n">
        <x:v>18000</x:v>
      </x:c>
      <x:c r="P6" s="131" t="n">
        <x:f>O6/2/B6</x:f>
        <x:v>1125</x:v>
      </x:c>
      <x:c r="Q6" s="131" t="n">
        <x:v>600</x:v>
      </x:c>
      <x:c r="R6" s="131" t="n">
        <x:f>Q6/B6</x:f>
        <x:v>75</x:v>
      </x:c>
      <x:c r="S6" s="131" t="n">
        <x:v>10</x:v>
      </x:c>
      <x:c r="T6" s="131" t="n">
        <x:f>S6/B6</x:f>
        <x:v>1.25</x:v>
      </x:c>
      <x:c r="U6" s="70" t="str">
        <x:v>B300 HGX 的 INT8 官方值为 3 POPS sparse；此处不做校正或推测。</x:v>
      </x:c>
      <x:c r="V6" s="70" t="str">
        <x:v>https://www.nvidia.com/en-us/data-center/hgx/</x:v>
      </x:c>
    </x:row>
    <x:row r="9" ht="32" customHeight="1">
      <x:c r="A9" s="91" t="str">
        <x:v>公式示例：B200 FP8/FP6 dense/卡 = 72,000 TFLOPS（8卡 sparse 总量） ÷ 2（去除 sparsity） ÷ 8（GPU数） = 4,500 TFLOPS/卡。</x:v>
      </x:c>
      <x:c r="B9" s="91"/>
      <x:c r="C9" s="91"/>
      <x:c r="D9" s="91"/>
      <x:c r="E9" s="91"/>
      <x:c r="F9" s="91"/>
      <x:c r="G9" s="91"/>
      <x:c r="H9" s="91"/>
      <x:c r="I9" s="91"/>
      <x:c r="J9" s="91"/>
      <x:c r="K9" s="91"/>
      <x:c r="L9" s="91"/>
      <x:c r="M9" s="91"/>
      <x:c r="N9" s="91"/>
      <x:c r="O9" s="91"/>
      <x:c r="P9" s="91"/>
      <x:c r="Q9" s="91"/>
      <x:c r="R9" s="91"/>
      <x:c r="S9" s="91"/>
      <x:c r="T9" s="91"/>
      <x:c r="U9" s="91"/>
      <x:c r="V9" s="91"/>
    </x:row>
  </x:sheetData>
  <x:mergeCells>
    <x:mergeCell ref="A1:V1"/>
    <x:mergeCell ref="A2:V2"/>
    <x:mergeCell ref="A9:V9"/>
  </x:mergeCells>
  <x:pageMargins left="0.7" right="0.7" top="0.75" bottom="0.75" header="0.3" footer="0.3"/>
  <x:tableParts count="1">
    <x:tablePart xmlns:r="http://schemas.openxmlformats.org/officeDocument/2006/relationships" r:id="Rb14c670e5f05479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9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21" hidden="0" customWidth="1"/>
    <x:col min="9" max="9" width="18" hidden="0" customWidth="1"/>
    <x:col min="10" max="10" width="18" hidden="0" customWidth="1"/>
    <x:col min="11" max="11" width="16" hidden="0" customWidth="1"/>
    <x:col min="12" max="12" width="20" hidden="0" customWidth="1"/>
    <x:col min="13" max="13" width="20" hidden="0" customWidth="1"/>
    <x:col min="14" max="14" width="16" hidden="0" customWidth="1"/>
    <x:col min="15" max="15" width="52" hidden="0" customWidth="1"/>
    <x:col min="16" max="16" width="50" hidden="0" customWidth="1"/>
  </x:cols>
  <x:sheetData>
    <x:row r="1" ht="32" customHeight="1">
      <x:c r="A1" s="5" t="str">
        <x:v>NVIDIA GPU Dense Tensor Core 参数汇总｜系统级附录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5" customHeight="1">
      <x:c r="A2" s="13" t="str">
        <x:v>整理日期：2026-07-25｜浮点单位 TFLOPS（系统表为 PFLOPS），整数单位 TOPS/POPS｜仅 dense，不使用 2:4 sparsity 加速数字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 ht="42" customHeight="1">
      <x:c r="A4" s="22" t="str">
        <x:v>平台</x:v>
      </x:c>
      <x:c r="B4" s="22" t="str">
        <x:v>架构</x:v>
      </x:c>
      <x:c r="C4" s="22" t="str">
        <x:v>GPU 数</x:v>
      </x:c>
      <x:c r="D4" s="22" t="str">
        <x:v>GPU 显存总量 (GB)</x:v>
      </x:c>
      <x:c r="E4" s="22" t="str">
        <x:v>HBM 总带宽 (TB/s)</x:v>
      </x:c>
      <x:c r="F4" s="22" t="str">
        <x:v>FP4 dense (PFLOPS)</x:v>
      </x:c>
      <x:c r="G4" s="22" t="str">
        <x:v>FP8/FP6 dense (PFLOPS)</x:v>
      </x:c>
      <x:c r="H4" s="22" t="str">
        <x:v>FP16/BF16 dense (PFLOPS)</x:v>
      </x:c>
      <x:c r="I4" s="22" t="str">
        <x:v>TF32 dense (PFLOPS)</x:v>
      </x:c>
      <x:c r="J4" s="22" t="str">
        <x:v>INT8 dense (POPS)</x:v>
      </x:c>
      <x:c r="K4" s="22" t="str">
        <x:v>FP32 (TFLOPS)</x:v>
      </x:c>
      <x:c r="L4" s="22" t="str">
        <x:v>FP64/FP64 TC (TFLOPS)</x:v>
      </x:c>
      <x:c r="M4" s="22" t="str">
        <x:v>NVLink 总带宽 (TB/s)</x:v>
      </x:c>
      <x:c r="N4" s="22" t="str">
        <x:v>系统功耗</x:v>
      </x:c>
      <x:c r="O4" s="22" t="str">
        <x:v>说明</x:v>
      </x:c>
      <x:c r="P4" s="22" t="str">
        <x:v>来源 URL</x:v>
      </x:c>
    </x:row>
    <x:row r="5" ht="44" customHeight="1">
      <x:c r="A5" s="78" t="str">
        <x:v>HGX B200</x:v>
      </x:c>
      <x:c r="B5" s="78" t="str">
        <x:v>Blackwell</x:v>
      </x:c>
      <x:c r="C5" s="126" t="n">
        <x:v>8</x:v>
      </x:c>
      <x:c r="D5" s="127" t="n">
        <x:v>1440</x:v>
      </x:c>
      <x:c r="E5" s="127" t="n">
        <x:v>64</x:v>
      </x:c>
      <x:c r="F5" s="127" t="n">
        <x:v>72</x:v>
      </x:c>
      <x:c r="G5" s="127" t="n">
        <x:v>36</x:v>
      </x:c>
      <x:c r="H5" s="127" t="n">
        <x:v>18</x:v>
      </x:c>
      <x:c r="I5" s="127" t="n">
        <x:v>9</x:v>
      </x:c>
      <x:c r="J5" s="127" t="n">
        <x:v>36</x:v>
      </x:c>
      <x:c r="K5" s="127" t="n">
        <x:v>600</x:v>
      </x:c>
      <x:c r="L5" s="127" t="n">
        <x:v>296</x:v>
      </x:c>
      <x:c r="M5" s="127" t="n">
        <x:v>14.4</x:v>
      </x:c>
      <x:c r="N5" s="126"/>
      <x:c r="O5" s="78" t="str">
        <x:v>HGX 官方规格；FP4 已给 sparse|dense，其余 Tensor 项按脚注减半。</x:v>
      </x:c>
      <x:c r="P5" s="78" t="str">
        <x:v>https://www.nvidia.com/en-us/data-center/hgx/</x:v>
      </x:c>
    </x:row>
    <x:row r="6" ht="44" customHeight="1">
      <x:c r="A6" s="78" t="str">
        <x:v>DGX B200</x:v>
      </x:c>
      <x:c r="B6" s="78" t="str">
        <x:v>Blackwell</x:v>
      </x:c>
      <x:c r="C6" s="126" t="n">
        <x:v>8</x:v>
      </x:c>
      <x:c r="D6" s="127" t="n">
        <x:v>1440</x:v>
      </x:c>
      <x:c r="E6" s="127" t="n">
        <x:v>64</x:v>
      </x:c>
      <x:c r="F6" s="127" t="n">
        <x:v>72</x:v>
      </x:c>
      <x:c r="G6" s="127" t="n">
        <x:v>36</x:v>
      </x:c>
      <x:c r="H6" s="127" t="n">
        <x:v>18</x:v>
      </x:c>
      <x:c r="I6" s="127" t="n">
        <x:v>9</x:v>
      </x:c>
      <x:c r="J6" s="127" t="n">
        <x:v>36</x:v>
      </x:c>
      <x:c r="K6" s="127" t="n">
        <x:v>600</x:v>
      </x:c>
      <x:c r="L6" s="127" t="n">
        <x:v>296</x:v>
      </x:c>
      <x:c r="M6" s="127" t="n">
        <x:v>14.4</x:v>
      </x:c>
      <x:c r="N6" s="126" t="str">
        <x:v>约 14.3 kW</x:v>
      </x:c>
      <x:c r="O6" s="78" t="str">
        <x:v>DGX B200 完整系统。</x:v>
      </x:c>
      <x:c r="P6" s="78" t="str">
        <x:v>https://www.nvidia.com/en-us/data-center/dgx-b200/</x:v>
      </x:c>
    </x:row>
    <x:row r="7" ht="44" customHeight="1">
      <x:c r="A7" s="78" t="str">
        <x:v>HGX B300</x:v>
      </x:c>
      <x:c r="B7" s="78" t="str">
        <x:v>Blackwell Ultra</x:v>
      </x:c>
      <x:c r="C7" s="126" t="n">
        <x:v>8</x:v>
      </x:c>
      <x:c r="D7" s="127" t="n">
        <x:v>2160</x:v>
      </x:c>
      <x:c r="E7" s="127" t="n">
        <x:v>64</x:v>
      </x:c>
      <x:c r="F7" s="127" t="n">
        <x:v>108</x:v>
      </x:c>
      <x:c r="G7" s="127" t="n">
        <x:v>36</x:v>
      </x:c>
      <x:c r="H7" s="127" t="n">
        <x:v>18</x:v>
      </x:c>
      <x:c r="I7" s="127" t="n">
        <x:v>9</x:v>
      </x:c>
      <x:c r="J7" s="127" t="n">
        <x:v>1.5</x:v>
      </x:c>
      <x:c r="K7" s="127" t="n">
        <x:v>600</x:v>
      </x:c>
      <x:c r="L7" s="127" t="n">
        <x:v>10</x:v>
      </x:c>
      <x:c r="M7" s="127" t="n">
        <x:v>14.4</x:v>
      </x:c>
      <x:c r="N7" s="126"/>
      <x:c r="O7" s="78" t="str">
        <x:v>注意官方 HGX 页列 INT8=3 POPS sparse，dense=1.5 POPS。</x:v>
      </x:c>
      <x:c r="P7" s="78" t="str">
        <x:v>https://www.nvidia.com/en-us/data-center/hgx/</x:v>
      </x:c>
    </x:row>
    <x:row r="8" ht="44" customHeight="1">
      <x:c r="A8" s="78" t="str">
        <x:v>DGX B300</x:v>
      </x:c>
      <x:c r="B8" s="78" t="str">
        <x:v>Blackwell Ultra</x:v>
      </x:c>
      <x:c r="C8" s="126" t="n">
        <x:v>8</x:v>
      </x:c>
      <x:c r="D8" s="127" t="n">
        <x:v>2160</x:v>
      </x:c>
      <x:c r="E8" s="127" t="n">
        <x:v>64</x:v>
      </x:c>
      <x:c r="F8" s="127" t="n">
        <x:v>108</x:v>
      </x:c>
      <x:c r="G8" s="127" t="n">
        <x:v>36</x:v>
      </x:c>
      <x:c r="H8" s="127" t="n">
        <x:v>18</x:v>
      </x:c>
      <x:c r="I8" s="127" t="n">
        <x:v>9</x:v>
      </x:c>
      <x:c r="J8" s="127" t="n">
        <x:v>1.5</x:v>
      </x:c>
      <x:c r="K8" s="127" t="n">
        <x:v>600</x:v>
      </x:c>
      <x:c r="L8" s="127" t="n">
        <x:v>10</x:v>
      </x:c>
      <x:c r="M8" s="127" t="n">
        <x:v>14.4</x:v>
      </x:c>
      <x:c r="N8" s="126"/>
      <x:c r="O8" s="78" t="str">
        <x:v>DGX 页面明确 FP4 144|108 PFLOPS、FP8 72 PFLOPS sparse。</x:v>
      </x:c>
      <x:c r="P8" s="78" t="str">
        <x:v>https://www.nvidia.com/en-us/data-center/dgx-b300/</x:v>
      </x:c>
    </x:row>
    <x:row r="9" ht="44" customHeight="1">
      <x:c r="A9" s="78" t="str">
        <x:v>GB200 NVL72</x:v>
      </x:c>
      <x:c r="B9" s="78" t="str">
        <x:v>Grace Blackwell</x:v>
      </x:c>
      <x:c r="C9" s="126" t="n">
        <x:v>72</x:v>
      </x:c>
      <x:c r="D9" s="127" t="n">
        <x:v>13400</x:v>
      </x:c>
      <x:c r="E9" s="127" t="n">
        <x:v>576</x:v>
      </x:c>
      <x:c r="F9" s="127" t="n">
        <x:v>720</x:v>
      </x:c>
      <x:c r="G9" s="127" t="n">
        <x:v>360</x:v>
      </x:c>
      <x:c r="H9" s="127" t="n">
        <x:v>180</x:v>
      </x:c>
      <x:c r="I9" s="127" t="n">
        <x:v>90</x:v>
      </x:c>
      <x:c r="J9" s="127" t="n">
        <x:v>360</x:v>
      </x:c>
      <x:c r="K9" s="127" t="n">
        <x:v>5760</x:v>
      </x:c>
      <x:c r="L9" s="127" t="n">
        <x:v>2880</x:v>
      </x:c>
      <x:c r="M9" s="127" t="n">
        <x:v>130</x:v>
      </x:c>
      <x:c r="N9" s="126"/>
      <x:c r="O9" s="78" t="str">
        <x:v>72 GPU NVLink 域；系统级数字，不应与单卡直接混用。</x:v>
      </x:c>
      <x:c r="P9" s="78" t="str">
        <x:v>https://www.nvidia.com/en-us/data-center/gb200-nvl72/</x:v>
      </x:c>
    </x:row>
    <x:row r="10" ht="44" customHeight="1">
      <x:c r="A10" s="78" t="str">
        <x:v>GB300 NVL72</x:v>
      </x:c>
      <x:c r="B10" s="78" t="str">
        <x:v>Grace Blackwell Ultra</x:v>
      </x:c>
      <x:c r="C10" s="126" t="n">
        <x:v>72</x:v>
      </x:c>
      <x:c r="D10" s="127" t="n">
        <x:v>20000</x:v>
      </x:c>
      <x:c r="E10" s="127" t="n">
        <x:v>576</x:v>
      </x:c>
      <x:c r="F10" s="127" t="n">
        <x:v>1080</x:v>
      </x:c>
      <x:c r="G10" s="127" t="n">
        <x:v>360</x:v>
      </x:c>
      <x:c r="H10" s="127" t="n">
        <x:v>180</x:v>
      </x:c>
      <x:c r="I10" s="127" t="n">
        <x:v>90</x:v>
      </x:c>
      <x:c r="J10" s="127" t="n">
        <x:v>12</x:v>
      </x:c>
      <x:c r="K10" s="127" t="n">
        <x:v>6000</x:v>
      </x:c>
      <x:c r="L10" s="127" t="n">
        <x:v>100</x:v>
      </x:c>
      <x:c r="M10" s="127" t="n">
        <x:v>130</x:v>
      </x:c>
      <x:c r="N10" s="126"/>
      <x:c r="O10" s="78" t="str">
        <x:v>FP4 页面直接给出 1080 PFLOPS 无稀疏；其他 Tensor 项按“均为 sparse”脚注折半。</x:v>
      </x:c>
      <x:c r="P10" s="78" t="str">
        <x:v>https://www.nvidia.com/en-sg/data-center/gb300-nvl72/</x:v>
      </x:c>
    </x:row>
    <x:row r="13" ht="30" customHeight="1">
      <x:c r="A13" s="136" t="str">
        <x:v>注：峰值算力是理论上限；空白不等同于 0。请结合“格式支持矩阵”和备注列判断是不支持、未发布，还是未按该模式单列。</x:v>
      </x:c>
      <x:c r="B13" s="136"/>
      <x:c r="C13" s="136"/>
      <x:c r="D13" s="136"/>
      <x:c r="E13" s="136"/>
      <x:c r="F13" s="136"/>
      <x:c r="G13" s="136"/>
      <x:c r="H13" s="136"/>
      <x:c r="I13" s="136"/>
      <x:c r="J13" s="136"/>
      <x:c r="K13" s="136"/>
      <x:c r="L13" s="136"/>
      <x:c r="M13" s="136"/>
      <x:c r="N13" s="136"/>
      <x:c r="O13" s="136"/>
      <x:c r="P13" s="136"/>
    </x:row>
  </x:sheetData>
  <x:mergeCells>
    <x:mergeCell ref="A1:P1"/>
    <x:mergeCell ref="A2:P2"/>
    <x:mergeCell ref="A13:P13"/>
  </x:mergeCells>
  <x:conditionalFormatting sqref="D5:M10">
    <x:cfRule type="colorScale" priority="1">
      <x:colorScale>
        <x:cfvo type="min"/>
        <x:cfvo type="percentile" val="50"/>
        <x:cfvo type="max"/>
        <x:color rgb="FFFFFFFF"/>
        <x:color rgb="FFD9F99D"/>
        <x:color rgb="FF76B900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954af5c4b81437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22" hidden="0" customWidth="1"/>
    <x:col min="4" max="4" width="72" hidden="0" customWidth="1"/>
    <x:col min="5" max="5" width="58" hidden="0" customWidth="1"/>
  </x:cols>
  <x:sheetData>
    <x:row r="1" ht="32" customHeight="1">
      <x:c r="A1" s="5" t="str">
        <x:v>NVIDIA GPU Dense Tensor Core 参数汇总｜来源映射</x:v>
      </x:c>
      <x:c r="B1" s="5"/>
      <x:c r="C1" s="5"/>
      <x:c r="D1" s="5"/>
      <x:c r="E1" s="5"/>
    </x:row>
    <x:row r="2" ht="25" customHeight="1">
      <x:c r="A2" s="13" t="str">
        <x:v>整理日期：2026-07-25｜浮点单位 TFLOPS（系统表为 PFLOPS），整数单位 TOPS/POPS｜仅 dense，不使用 2:4 sparsity 加速数字</x:v>
      </x:c>
      <x:c r="B2" s="13"/>
      <x:c r="C2" s="13"/>
      <x:c r="D2" s="13"/>
      <x:c r="E2" s="13"/>
    </x:row>
    <x:row r="4" ht="42" customHeight="1">
      <x:c r="A4" s="22" t="str">
        <x:v>来源名称</x:v>
      </x:c>
      <x:c r="B4" s="22" t="str">
        <x:v>覆盖型号/用途</x:v>
      </x:c>
      <x:c r="C4" s="22" t="str">
        <x:v>来源级别</x:v>
      </x:c>
      <x:c r="D4" s="22" t="str">
        <x:v>URL</x:v>
      </x:c>
      <x:c r="E4" s="22" t="str">
        <x:v>口径备注</x:v>
      </x:c>
    </x:row>
    <x:row r="5" ht="42" customHeight="1">
      <x:c r="A5" s="78" t="str">
        <x:v>NVIDIA Ada GPU Architecture Whitepaper</x:v>
      </x:c>
      <x:c r="B5" s="78" t="str">
        <x:v>RTX 3090 Ti、RTX 4090</x:v>
      </x:c>
      <x:c r="C5" s="78" t="str">
        <x:v>NVIDIA 官方</x:v>
      </x:c>
      <x:c r="D5" s="78" t="str">
        <x:v>https://images.nvidia.com/aem-dam/Solutions/geforce/ada/nvidia-ada-gpu-architecture.pdf</x:v>
      </x:c>
      <x:c r="E5" s="78" t="str">
        <x:v>附录表同时给 dense/sparse；取斜杠前。</x:v>
      </x:c>
    </x:row>
    <x:row r="6" ht="42" customHeight="1">
      <x:c r="A6" s="78" t="str">
        <x:v>NVIDIA RTX Blackwell GPU Architecture</x:v>
      </x:c>
      <x:c r="B6" s="78" t="str">
        <x:v>RTX 5090、RTX Blackwell 格式支持</x:v>
      </x:c>
      <x:c r="C6" s="78" t="str">
        <x:v>NVIDIA 官方</x:v>
      </x:c>
      <x:c r="D6" s="78" t="str">
        <x:v>https://images.nvidia.com/aem-dam/Solutions/geforce/blackwell/nvidia-rtx-blackwell-gpu-architecture.pdf</x:v>
      </x:c>
      <x:c r="E6" s="78" t="str">
        <x:v>附录给 RTX 5090 各累加模式；FP6 支持但未列单卡峰值。</x:v>
      </x:c>
    </x:row>
    <x:row r="7" ht="42" customHeight="1">
      <x:c r="A7" s="78" t="str">
        <x:v>NVIDIA A100 Datasheet</x:v>
      </x:c>
      <x:c r="B7" s="78" t="str">
        <x:v>A100 40/80GB PCIe/SXM</x:v>
      </x:c>
      <x:c r="C7" s="78" t="str">
        <x:v>NVIDIA 官方</x:v>
      </x:c>
      <x:c r="D7" s="78" t="str">
        <x:v>https://www.nvidia.com/content/dam/en-zz/Solutions/Data-Center/a100/pdf/nvidia-a100-datasheet-us-nvidia-1758950-r4-web.pdf</x:v>
      </x:c>
      <x:c r="E7" s="78" t="str">
        <x:v>带星号为 sparse。</x:v>
      </x:c>
    </x:row>
    <x:row r="8" ht="42" customHeight="1">
      <x:c r="A8" s="78" t="str">
        <x:v>NVIDIA A30 Datasheet</x:v>
      </x:c>
      <x:c r="B8" s="78" t="str">
        <x:v>A30</x:v>
      </x:c>
      <x:c r="C8" s="78" t="str">
        <x:v>NVIDIA 官方</x:v>
      </x:c>
      <x:c r="D8" s="78" t="str">
        <x:v>https://www.nvidia.com/content/dam/en-zz/Solutions/data-center/products/a30-gpu/pdf/a30-datasheet.pdf</x:v>
      </x:c>
      <x:c r="E8" s="78" t="str">
        <x:v>dense/sparse 双值。</x:v>
      </x:c>
    </x:row>
    <x:row r="9" ht="42" customHeight="1">
      <x:c r="A9" s="78" t="str">
        <x:v>NVIDIA A40 Datasheet</x:v>
      </x:c>
      <x:c r="B9" s="78" t="str">
        <x:v>A40</x:v>
      </x:c>
      <x:c r="C9" s="78" t="str">
        <x:v>NVIDIA 官方</x:v>
      </x:c>
      <x:c r="D9" s="78" t="str">
        <x:v>https://images.nvidia.com/content/Solutions/data-center/a40/nvidia-a40-datasheet.pdf</x:v>
      </x:c>
      <x:c r="E9" s="78" t="str">
        <x:v>dense/sparse 双值。</x:v>
      </x:c>
    </x:row>
    <x:row r="10" ht="42" customHeight="1">
      <x:c r="A10" s="78" t="str">
        <x:v>NVIDIA A10 Datasheet</x:v>
      </x:c>
      <x:c r="B10" s="78" t="str">
        <x:v>A10</x:v>
      </x:c>
      <x:c r="C10" s="78" t="str">
        <x:v>NVIDIA 官方</x:v>
      </x:c>
      <x:c r="D10" s="78" t="str">
        <x:v>https://www.nvidia.com/content/dam/en-zz/Solutions/Data-Center/a10/pdf/datasheet-new/nvidia-a10-datasheet.pdf</x:v>
      </x:c>
      <x:c r="E10" s="78" t="str">
        <x:v>dense/sparse 双值。</x:v>
      </x:c>
    </x:row>
    <x:row r="11" ht="42" customHeight="1">
      <x:c r="A11" s="78" t="str">
        <x:v>NVIDIA A2 Datasheet</x:v>
      </x:c>
      <x:c r="B11" s="78" t="str">
        <x:v>A2</x:v>
      </x:c>
      <x:c r="C11" s="78" t="str">
        <x:v>NVIDIA 官方</x:v>
      </x:c>
      <x:c r="D11" s="78" t="str">
        <x:v>https://www.nvidia.com/content/dam/en-zz/solutions/data-center/a2/pdf/a2-datasheet.pdf</x:v>
      </x:c>
      <x:c r="E11" s="78" t="str">
        <x:v>dense/sparse 双值。</x:v>
      </x:c>
    </x:row>
    <x:row r="12" ht="42" customHeight="1">
      <x:c r="A12" s="78" t="str">
        <x:v>NVIDIA L4 Product Page</x:v>
      </x:c>
      <x:c r="B12" s="78" t="str">
        <x:v>L4</x:v>
      </x:c>
      <x:c r="C12" s="78" t="str">
        <x:v>NVIDIA 官方</x:v>
      </x:c>
      <x:c r="D12" s="78" t="str">
        <x:v>https://www.nvidia.com/en-us/data-center/l4/</x:v>
      </x:c>
      <x:c r="E12" s="78" t="str">
        <x:v>页面全部 Tensor 数值为 sparse，dense 为一半。</x:v>
      </x:c>
    </x:row>
    <x:row r="13" ht="42" customHeight="1">
      <x:c r="A13" s="78" t="str">
        <x:v>NVIDIA L40 Datasheet</x:v>
      </x:c>
      <x:c r="B13" s="78" t="str">
        <x:v>L40</x:v>
      </x:c>
      <x:c r="C13" s="78" t="str">
        <x:v>NVIDIA 官方</x:v>
      </x:c>
      <x:c r="D13" s="78" t="str">
        <x:v>https://www.nvidia.com/content/dam/en-zz/Solutions/design-visualization/support-guide/NVIDIA-L40-Datasheet-January-2023.pdf</x:v>
      </x:c>
      <x:c r="E13" s="78" t="str">
        <x:v>dense|sparse 双值。</x:v>
      </x:c>
    </x:row>
    <x:row r="14" ht="42" customHeight="1">
      <x:c r="A14" s="78" t="str">
        <x:v>NVIDIA L40S Product Page</x:v>
      </x:c>
      <x:c r="B14" s="78" t="str">
        <x:v>L40S</x:v>
      </x:c>
      <x:c r="C14" s="78" t="str">
        <x:v>NVIDIA 官方</x:v>
      </x:c>
      <x:c r="D14" s="78" t="str">
        <x:v>https://www.nvidia.com/en-sg/data-center/l40s/</x:v>
      </x:c>
      <x:c r="E14" s="78" t="str">
        <x:v>页面给 dense|sparse；INT4 按官方原值。</x:v>
      </x:c>
    </x:row>
    <x:row r="15" ht="42" customHeight="1">
      <x:c r="A15" s="78" t="str">
        <x:v>NVIDIA H100 Product Page</x:v>
      </x:c>
      <x:c r="B15" s="78" t="str">
        <x:v>H100 SXM、H100 NVL</x:v>
      </x:c>
      <x:c r="C15" s="78" t="str">
        <x:v>NVIDIA 官方</x:v>
      </x:c>
      <x:c r="D15" s="78" t="str">
        <x:v>https://www.nvidia.com/en-sg/data-center/h100/</x:v>
      </x:c>
      <x:c r="E15" s="78" t="str">
        <x:v>Tensor 数值带 sparsity；dense 为一半。</x:v>
      </x:c>
    </x:row>
    <x:row r="16" ht="42" customHeight="1">
      <x:c r="A16" s="78" t="str">
        <x:v>NVIDIA H100 Product Brief</x:v>
      </x:c>
      <x:c r="B16" s="78" t="str">
        <x:v>H100 PCIe</x:v>
      </x:c>
      <x:c r="C16" s="78" t="str">
        <x:v>NVIDIA 官方</x:v>
      </x:c>
      <x:c r="D16" s="78" t="str">
        <x:v>https://www.nvidia.com/content/dam/en-zz/Solutions/gtcs22/data-center/h100/PB-11133-001_v01.pdf</x:v>
      </x:c>
      <x:c r="E16" s="78" t="str">
        <x:v>PCIe 形态、功耗、显存带宽。</x:v>
      </x:c>
    </x:row>
    <x:row r="17" ht="42" customHeight="1">
      <x:c r="A17" s="78" t="str">
        <x:v>NVIDIA H200 Product Page</x:v>
      </x:c>
      <x:c r="B17" s="78" t="str">
        <x:v>H200 SXM、H200 NVL</x:v>
      </x:c>
      <x:c r="C17" s="78" t="str">
        <x:v>NVIDIA 官方</x:v>
      </x:c>
      <x:c r="D17" s="78" t="str">
        <x:v>https://www.nvidia.com/en-us/data-center/h200/</x:v>
      </x:c>
      <x:c r="E17" s="78" t="str">
        <x:v>Tensor 数值带 sparsity；dense 为一半。</x:v>
      </x:c>
    </x:row>
    <x:row r="18" ht="42" customHeight="1">
      <x:c r="A18" s="78" t="str">
        <x:v>NVIDIA RTX PRO 6000 Blackwell Server</x:v>
      </x:c>
      <x:c r="B18" s="78" t="str">
        <x:v>RTX PRO 6000 Server Edition</x:v>
      </x:c>
      <x:c r="C18" s="78" t="str">
        <x:v>NVIDIA 官方</x:v>
      </x:c>
      <x:c r="D18" s="78" t="str">
        <x:v>https://www.nvidia.com/en-us/data-center/rtx-pro-6000-blackwell-server-edition/</x:v>
      </x:c>
      <x:c r="E18" s="78" t="str">
        <x:v>产品页为稀疏 AI 峰值；结合 RTX PRO Blackwell 白皮书折算。</x:v>
      </x:c>
    </x:row>
    <x:row r="19" ht="42" customHeight="1">
      <x:c r="A19" s="78" t="str">
        <x:v>NVIDIA HGX Platform</x:v>
      </x:c>
      <x:c r="B19" s="78" t="str">
        <x:v>B200、B300 单卡推导及 HGX 系统</x:v>
      </x:c>
      <x:c r="C19" s="78" t="str">
        <x:v>NVIDIA 官方</x:v>
      </x:c>
      <x:c r="D19" s="78" t="str">
        <x:v>https://www.nvidia.com/en-us/data-center/hgx/</x:v>
      </x:c>
      <x:c r="E19" s="78" t="str">
        <x:v>B200/B300 以 8 GPU 总量发布；脚注明确 sparse/dense。</x:v>
      </x:c>
    </x:row>
    <x:row r="20" ht="42" customHeight="1">
      <x:c r="A20" s="78" t="str">
        <x:v>NVIDIA Blackwell Ultra Technical Blog</x:v>
      </x:c>
      <x:c r="B20" s="78" t="str">
        <x:v>B300/Blackwell Ultra 满配芯片</x:v>
      </x:c>
      <x:c r="C20" s="78" t="str">
        <x:v>NVIDIA 官方技术博客</x:v>
      </x:c>
      <x:c r="D20" s="78" t="str">
        <x:v>https://developer.nvidia.com/blog/inside-nvidia-blackwell-ultra-the-chip-powering-the-ai-factory-era/</x:v>
      </x:c>
      <x:c r="E20" s="78" t="str">
        <x:v>满配：160 SM、640 Tensor Core、15 PFLOPS dense NVFP4、最高 288GB。</x:v>
      </x:c>
    </x:row>
    <x:row r="21" ht="42" customHeight="1">
      <x:c r="A21" s="78" t="str">
        <x:v>NVIDIA GB200 NVL72</x:v>
      </x:c>
      <x:c r="B21" s="78" t="str">
        <x:v>GB200 NVL72 系统</x:v>
      </x:c>
      <x:c r="C21" s="78" t="str">
        <x:v>NVIDIA 官方</x:v>
      </x:c>
      <x:c r="D21" s="78" t="str">
        <x:v>https://www.nvidia.com/en-us/data-center/gb200-nvl72/</x:v>
      </x:c>
      <x:c r="E21" s="78" t="str">
        <x:v>系统级规格。</x:v>
      </x:c>
    </x:row>
    <x:row r="22" ht="42" customHeight="1">
      <x:c r="A22" s="78" t="str">
        <x:v>NVIDIA GB300 NVL72</x:v>
      </x:c>
      <x:c r="B22" s="78" t="str">
        <x:v>GB300 NVL72 系统</x:v>
      </x:c>
      <x:c r="C22" s="78" t="str">
        <x:v>NVIDIA 官方</x:v>
      </x:c>
      <x:c r="D22" s="78" t="str">
        <x:v>https://www.nvidia.com/en-sg/data-center/gb300-nvl72/</x:v>
      </x:c>
      <x:c r="E22" s="78" t="str">
        <x:v>系统级规格。</x:v>
      </x:c>
    </x:row>
    <x:row r="23" ht="42" customHeight="1">
      <x:c r="A23" s="78" t="str">
        <x:v>Cudo Compute B100 overview</x:v>
      </x:c>
      <x:c r="B23" s="78" t="str">
        <x:v>B100 发布期规格</x:v>
      </x:c>
      <x:c r="C23" s="78" t="str">
        <x:v>二级来源</x:v>
      </x:c>
      <x:c r="D23" s="78" t="str">
        <x:v>https://www.cudocompute.com/blog/nvidias-blackwell-architecture-breaking-down-the-b100-b200-and-gb200</x:v>
      </x:c>
      <x:c r="E23" s="78" t="str">
        <x:v>B100 当前官方产品页不再单列；仅作历史/规划补充。</x:v>
      </x:c>
    </x:row>
    <x:row r="25" ht="30" customHeight="1">
      <x:c r="A25" s="136" t="str">
        <x:v>注：峰值算力是理论上限；空白不等同于 0。请结合“格式支持矩阵”和备注列判断是不支持、未发布，还是未按该模式单列。</x:v>
      </x:c>
      <x:c r="B25" s="136"/>
      <x:c r="C25" s="136"/>
      <x:c r="D25" s="136"/>
      <x:c r="E25" s="136"/>
    </x:row>
  </x:sheetData>
  <x:mergeCells>
    <x:mergeCell ref="A1:E1"/>
    <x:mergeCell ref="A2:E2"/>
    <x:mergeCell ref="A25:E25"/>
  </x:mergeCells>
  <x:pageMargins left="0.7" right="0.7" top="0.75" bottom="0.75" header="0.3" footer="0.3"/>
  <x:tableParts count="1">
    <x:tablePart xmlns:r="http://schemas.openxmlformats.org/officeDocument/2006/relationships" r:id="R8945d7aa09a94a16"/>
  </x:tableParts>
</x:worksheet>
</file>